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69C1\EXCELCNV\aeb08444-10fb-4e02-81e7-748150d669ed\"/>
    </mc:Choice>
  </mc:AlternateContent>
  <xr:revisionPtr revIDLastSave="0" documentId="8_{0FFE1F3B-B45F-431C-9DEA-9E87204D6341}" xr6:coauthVersionLast="47" xr6:coauthVersionMax="47" xr10:uidLastSave="{00000000-0000-0000-0000-000000000000}"/>
  <bookViews>
    <workbookView xWindow="-60" yWindow="-60" windowWidth="15480" windowHeight="11640" xr2:uid="{37942C17-11BC-4712-9799-26B21FE9AF5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T2" i="1"/>
  <c r="S2" i="1"/>
  <c r="S4" i="1"/>
  <c r="S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1" i="1"/>
  <c r="Q2" i="1"/>
  <c r="Q7" i="1"/>
  <c r="Q6" i="1"/>
  <c r="Q4" i="1"/>
  <c r="Q3" i="1"/>
  <c r="Q5" i="1"/>
  <c r="O2" i="1"/>
  <c r="L2" i="1" a="1"/>
  <c r="L2" i="1"/>
  <c r="J2" i="1"/>
  <c r="H2" i="1"/>
  <c r="H19" i="1"/>
  <c r="H3" i="1"/>
  <c r="F2" i="1"/>
  <c r="D4" i="1"/>
  <c r="D3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H4" i="1"/>
  <c r="H5" i="1"/>
  <c r="H6" i="1"/>
  <c r="H7" i="1"/>
  <c r="H8" i="1"/>
  <c r="H9" i="1"/>
  <c r="H10" i="1"/>
  <c r="H11" i="1"/>
  <c r="H12" i="1"/>
  <c r="H13" i="1"/>
  <c r="H14" i="1"/>
  <c r="H16" i="1"/>
  <c r="H17" i="1"/>
  <c r="H18" i="1"/>
  <c r="H20" i="1"/>
  <c r="H21" i="1"/>
  <c r="H22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7" i="1"/>
  <c r="H158" i="1"/>
  <c r="H159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7" i="1"/>
  <c r="H178" i="1"/>
  <c r="H179" i="1"/>
  <c r="H180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8" i="1"/>
  <c r="H249" i="1"/>
  <c r="H250" i="1"/>
  <c r="H251" i="1"/>
  <c r="H252" i="1"/>
  <c r="H253" i="1"/>
  <c r="H254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2" i="1"/>
  <c r="H303" i="1"/>
  <c r="H304" i="1"/>
  <c r="H305" i="1"/>
  <c r="H306" i="1"/>
  <c r="H307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7" i="1"/>
  <c r="H338" i="1"/>
  <c r="H339" i="1"/>
  <c r="H340" i="1"/>
  <c r="H341" i="1"/>
  <c r="H344" i="1"/>
  <c r="H345" i="1"/>
  <c r="H346" i="1"/>
  <c r="H347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T3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F369" i="1"/>
  <c r="F368" i="1"/>
  <c r="F367" i="1"/>
  <c r="F366" i="1"/>
  <c r="F365" i="1"/>
  <c r="F364" i="1"/>
  <c r="F363" i="1"/>
  <c r="F362" i="1"/>
  <c r="F361" i="1"/>
  <c r="Q360" i="1"/>
  <c r="Z360" i="1" s="1"/>
  <c r="L360" i="1" a="1"/>
  <c r="L360" i="1"/>
  <c r="J360" i="1"/>
  <c r="F360" i="1"/>
  <c r="D360" i="1"/>
  <c r="F359" i="1"/>
  <c r="F358" i="1"/>
  <c r="F357" i="1"/>
  <c r="F356" i="1"/>
  <c r="F355" i="1"/>
  <c r="F354" i="1"/>
  <c r="F353" i="1"/>
  <c r="F352" i="1"/>
  <c r="F351" i="1"/>
  <c r="Q350" i="1"/>
  <c r="Z350" i="1" s="1"/>
  <c r="L350" i="1" a="1"/>
  <c r="L350" i="1"/>
  <c r="J350" i="1"/>
  <c r="F350" i="1"/>
  <c r="D350" i="1"/>
  <c r="F349" i="1"/>
  <c r="F348" i="1"/>
  <c r="F347" i="1"/>
  <c r="F346" i="1"/>
  <c r="F345" i="1"/>
  <c r="F344" i="1"/>
  <c r="F343" i="1"/>
  <c r="F342" i="1"/>
  <c r="F341" i="1"/>
  <c r="Q340" i="1"/>
  <c r="Z340" i="1" s="1"/>
  <c r="L340" i="1" a="1"/>
  <c r="L340" i="1"/>
  <c r="J340" i="1"/>
  <c r="F340" i="1"/>
  <c r="D340" i="1"/>
  <c r="F339" i="1"/>
  <c r="F338" i="1"/>
  <c r="F337" i="1"/>
  <c r="F336" i="1"/>
  <c r="F335" i="1"/>
  <c r="F334" i="1"/>
  <c r="F333" i="1"/>
  <c r="F332" i="1"/>
  <c r="F331" i="1"/>
  <c r="Q330" i="1"/>
  <c r="Z330" i="1" s="1"/>
  <c r="L330" i="1" a="1"/>
  <c r="L330" i="1"/>
  <c r="J330" i="1"/>
  <c r="F330" i="1"/>
  <c r="D330" i="1"/>
  <c r="F329" i="1"/>
  <c r="F328" i="1"/>
  <c r="F327" i="1"/>
  <c r="F326" i="1"/>
  <c r="F325" i="1"/>
  <c r="F324" i="1"/>
  <c r="F323" i="1"/>
  <c r="F322" i="1"/>
  <c r="F321" i="1"/>
  <c r="Q320" i="1"/>
  <c r="Z320" i="1" s="1"/>
  <c r="L320" i="1" a="1"/>
  <c r="L320" i="1"/>
  <c r="J320" i="1"/>
  <c r="F320" i="1"/>
  <c r="D320" i="1"/>
  <c r="F319" i="1"/>
  <c r="F318" i="1"/>
  <c r="F317" i="1"/>
  <c r="F316" i="1"/>
  <c r="F315" i="1"/>
  <c r="F314" i="1"/>
  <c r="F313" i="1"/>
  <c r="F312" i="1"/>
  <c r="F311" i="1"/>
  <c r="Q310" i="1"/>
  <c r="Z310" i="1" s="1"/>
  <c r="L310" i="1" a="1"/>
  <c r="L310" i="1"/>
  <c r="J310" i="1"/>
  <c r="F310" i="1"/>
  <c r="D310" i="1"/>
  <c r="Q309" i="1"/>
  <c r="Z309" i="1" s="1"/>
  <c r="L309" i="1" a="1"/>
  <c r="L309" i="1"/>
  <c r="J309" i="1"/>
  <c r="F309" i="1"/>
  <c r="D309" i="1"/>
  <c r="Q308" i="1"/>
  <c r="Z308" i="1" s="1"/>
  <c r="L308" i="1" a="1"/>
  <c r="L308" i="1"/>
  <c r="J308" i="1"/>
  <c r="H308" i="1" s="1"/>
  <c r="F308" i="1"/>
  <c r="D308" i="1"/>
  <c r="Q307" i="1"/>
  <c r="Z307" i="1" s="1"/>
  <c r="L307" i="1" a="1"/>
  <c r="L307" i="1"/>
  <c r="J307" i="1"/>
  <c r="F307" i="1"/>
  <c r="D307" i="1"/>
  <c r="Q306" i="1"/>
  <c r="Z306" i="1" s="1"/>
  <c r="L306" i="1" a="1"/>
  <c r="L306" i="1"/>
  <c r="J306" i="1"/>
  <c r="F306" i="1"/>
  <c r="D306" i="1"/>
  <c r="Q305" i="1"/>
  <c r="Z305" i="1" s="1"/>
  <c r="L305" i="1" a="1"/>
  <c r="L305" i="1"/>
  <c r="J305" i="1"/>
  <c r="F305" i="1"/>
  <c r="D305" i="1"/>
  <c r="Q304" i="1"/>
  <c r="Z304" i="1" s="1"/>
  <c r="L304" i="1" a="1"/>
  <c r="L304" i="1"/>
  <c r="J304" i="1"/>
  <c r="F304" i="1"/>
  <c r="D304" i="1"/>
  <c r="Q303" i="1"/>
  <c r="Z303" i="1" s="1"/>
  <c r="L303" i="1" a="1"/>
  <c r="L303" i="1"/>
  <c r="J303" i="1"/>
  <c r="F303" i="1"/>
  <c r="D303" i="1"/>
  <c r="Q302" i="1"/>
  <c r="Z302" i="1" s="1"/>
  <c r="L302" i="1" a="1"/>
  <c r="L302" i="1"/>
  <c r="J302" i="1"/>
  <c r="F302" i="1"/>
  <c r="D302" i="1"/>
  <c r="Q301" i="1"/>
  <c r="Z301" i="1" s="1"/>
  <c r="L301" i="1" a="1"/>
  <c r="L301" i="1"/>
  <c r="J301" i="1"/>
  <c r="H301" i="1" s="1"/>
  <c r="F301" i="1"/>
  <c r="D301" i="1"/>
  <c r="Q300" i="1"/>
  <c r="Z300" i="1" s="1"/>
  <c r="L300" i="1" a="1"/>
  <c r="L300" i="1"/>
  <c r="J300" i="1"/>
  <c r="F300" i="1"/>
  <c r="D300" i="1"/>
  <c r="F299" i="1"/>
  <c r="F298" i="1"/>
  <c r="F297" i="1"/>
  <c r="F296" i="1"/>
  <c r="F295" i="1"/>
  <c r="F294" i="1"/>
  <c r="F293" i="1"/>
  <c r="F292" i="1"/>
  <c r="F291" i="1"/>
  <c r="Q290" i="1"/>
  <c r="Z290" i="1" s="1"/>
  <c r="L290" i="1" a="1"/>
  <c r="L290" i="1"/>
  <c r="J290" i="1"/>
  <c r="F290" i="1"/>
  <c r="D290" i="1"/>
  <c r="F289" i="1"/>
  <c r="F288" i="1"/>
  <c r="F287" i="1"/>
  <c r="F286" i="1"/>
  <c r="F285" i="1"/>
  <c r="F284" i="1"/>
  <c r="F283" i="1"/>
  <c r="F282" i="1"/>
  <c r="F281" i="1"/>
  <c r="Q280" i="1"/>
  <c r="Z280" i="1" s="1"/>
  <c r="L280" i="1" a="1"/>
  <c r="L280" i="1"/>
  <c r="J280" i="1"/>
  <c r="F280" i="1"/>
  <c r="D280" i="1"/>
  <c r="F279" i="1"/>
  <c r="F278" i="1"/>
  <c r="F277" i="1"/>
  <c r="F276" i="1"/>
  <c r="F275" i="1"/>
  <c r="F274" i="1"/>
  <c r="F273" i="1"/>
  <c r="F272" i="1"/>
  <c r="F271" i="1"/>
  <c r="Q270" i="1"/>
  <c r="Z270" i="1" s="1"/>
  <c r="L270" i="1" a="1"/>
  <c r="L270" i="1"/>
  <c r="J270" i="1"/>
  <c r="F270" i="1"/>
  <c r="D270" i="1"/>
  <c r="F269" i="1"/>
  <c r="F268" i="1"/>
  <c r="F267" i="1"/>
  <c r="F266" i="1"/>
  <c r="F265" i="1"/>
  <c r="F264" i="1"/>
  <c r="F263" i="1"/>
  <c r="F262" i="1"/>
  <c r="F261" i="1"/>
  <c r="Q260" i="1"/>
  <c r="Z260" i="1" s="1"/>
  <c r="L260" i="1" a="1"/>
  <c r="L260" i="1"/>
  <c r="J260" i="1"/>
  <c r="F260" i="1"/>
  <c r="D260" i="1"/>
  <c r="F259" i="1"/>
  <c r="F258" i="1"/>
  <c r="F257" i="1"/>
  <c r="F256" i="1"/>
  <c r="F255" i="1"/>
  <c r="F254" i="1"/>
  <c r="F253" i="1"/>
  <c r="F252" i="1"/>
  <c r="F251" i="1"/>
  <c r="Q250" i="1"/>
  <c r="Z250" i="1" s="1"/>
  <c r="L250" i="1" a="1"/>
  <c r="L250" i="1"/>
  <c r="J250" i="1"/>
  <c r="F250" i="1"/>
  <c r="D250" i="1"/>
  <c r="F249" i="1"/>
  <c r="F248" i="1"/>
  <c r="F247" i="1"/>
  <c r="F246" i="1"/>
  <c r="F245" i="1"/>
  <c r="F244" i="1"/>
  <c r="F243" i="1"/>
  <c r="F242" i="1"/>
  <c r="F241" i="1"/>
  <c r="Q240" i="1"/>
  <c r="Z240" i="1" s="1"/>
  <c r="L240" i="1" a="1"/>
  <c r="L240" i="1"/>
  <c r="J240" i="1"/>
  <c r="F240" i="1"/>
  <c r="D240" i="1"/>
  <c r="F239" i="1"/>
  <c r="F238" i="1"/>
  <c r="F237" i="1"/>
  <c r="F236" i="1"/>
  <c r="F235" i="1"/>
  <c r="F234" i="1"/>
  <c r="F233" i="1"/>
  <c r="F232" i="1"/>
  <c r="F231" i="1"/>
  <c r="Q230" i="1"/>
  <c r="Z230" i="1" s="1"/>
  <c r="L230" i="1" a="1"/>
  <c r="L230" i="1"/>
  <c r="J230" i="1"/>
  <c r="F230" i="1"/>
  <c r="D230" i="1"/>
  <c r="F229" i="1"/>
  <c r="F228" i="1"/>
  <c r="F227" i="1"/>
  <c r="F226" i="1"/>
  <c r="F225" i="1"/>
  <c r="F224" i="1"/>
  <c r="F223" i="1"/>
  <c r="F222" i="1"/>
  <c r="F221" i="1"/>
  <c r="Q220" i="1"/>
  <c r="Z220" i="1" s="1"/>
  <c r="L220" i="1" a="1"/>
  <c r="L220" i="1"/>
  <c r="J220" i="1"/>
  <c r="F220" i="1"/>
  <c r="D220" i="1"/>
  <c r="F219" i="1"/>
  <c r="F218" i="1"/>
  <c r="F217" i="1"/>
  <c r="F216" i="1"/>
  <c r="F215" i="1"/>
  <c r="F214" i="1"/>
  <c r="F213" i="1"/>
  <c r="F212" i="1"/>
  <c r="F211" i="1"/>
  <c r="Q210" i="1"/>
  <c r="Z210" i="1" s="1"/>
  <c r="L210" i="1" a="1"/>
  <c r="L210" i="1"/>
  <c r="J210" i="1"/>
  <c r="F210" i="1"/>
  <c r="D210" i="1"/>
  <c r="Q209" i="1"/>
  <c r="Z209" i="1" s="1"/>
  <c r="L209" i="1" a="1"/>
  <c r="L209" i="1"/>
  <c r="J209" i="1"/>
  <c r="F209" i="1"/>
  <c r="D209" i="1"/>
  <c r="Q208" i="1"/>
  <c r="Z208" i="1" s="1"/>
  <c r="L208" i="1" a="1"/>
  <c r="L208" i="1"/>
  <c r="J208" i="1"/>
  <c r="F208" i="1"/>
  <c r="D208" i="1"/>
  <c r="Q207" i="1"/>
  <c r="Z207" i="1" s="1"/>
  <c r="L207" i="1" a="1"/>
  <c r="L207" i="1"/>
  <c r="J207" i="1"/>
  <c r="F207" i="1"/>
  <c r="D207" i="1"/>
  <c r="Q206" i="1"/>
  <c r="Z206" i="1" s="1"/>
  <c r="L206" i="1" a="1"/>
  <c r="L206" i="1"/>
  <c r="J206" i="1"/>
  <c r="F206" i="1"/>
  <c r="D206" i="1"/>
  <c r="Q205" i="1"/>
  <c r="Z205" i="1" s="1"/>
  <c r="L205" i="1" a="1"/>
  <c r="L205" i="1"/>
  <c r="J205" i="1"/>
  <c r="F205" i="1"/>
  <c r="D205" i="1"/>
  <c r="Q204" i="1"/>
  <c r="Z204" i="1" s="1"/>
  <c r="L204" i="1" a="1"/>
  <c r="L204" i="1"/>
  <c r="J204" i="1"/>
  <c r="F204" i="1"/>
  <c r="D204" i="1"/>
  <c r="Q203" i="1"/>
  <c r="Z203" i="1" s="1"/>
  <c r="L203" i="1" a="1"/>
  <c r="L203" i="1"/>
  <c r="J203" i="1"/>
  <c r="F203" i="1"/>
  <c r="D203" i="1"/>
  <c r="Q202" i="1"/>
  <c r="Z202" i="1" s="1"/>
  <c r="L202" i="1" a="1"/>
  <c r="L202" i="1"/>
  <c r="J202" i="1"/>
  <c r="F202" i="1"/>
  <c r="D202" i="1"/>
  <c r="Q201" i="1"/>
  <c r="Z201" i="1" s="1"/>
  <c r="L201" i="1" a="1"/>
  <c r="L201" i="1"/>
  <c r="J201" i="1"/>
  <c r="H201" i="1" s="1"/>
  <c r="F201" i="1"/>
  <c r="D201" i="1"/>
  <c r="Q200" i="1"/>
  <c r="Z200" i="1" s="1"/>
  <c r="L200" i="1" a="1"/>
  <c r="L200" i="1"/>
  <c r="J200" i="1"/>
  <c r="F200" i="1"/>
  <c r="D200" i="1"/>
  <c r="F199" i="1"/>
  <c r="F198" i="1"/>
  <c r="F197" i="1"/>
  <c r="F196" i="1"/>
  <c r="F195" i="1"/>
  <c r="F194" i="1"/>
  <c r="F193" i="1"/>
  <c r="F192" i="1"/>
  <c r="F191" i="1"/>
  <c r="Q190" i="1"/>
  <c r="Z190" i="1" s="1"/>
  <c r="L190" i="1" a="1"/>
  <c r="L190" i="1"/>
  <c r="J190" i="1"/>
  <c r="F190" i="1"/>
  <c r="D190" i="1"/>
  <c r="F189" i="1"/>
  <c r="F188" i="1"/>
  <c r="F187" i="1"/>
  <c r="F186" i="1"/>
  <c r="F185" i="1"/>
  <c r="F184" i="1"/>
  <c r="F183" i="1"/>
  <c r="F182" i="1"/>
  <c r="F181" i="1"/>
  <c r="Q180" i="1"/>
  <c r="Z180" i="1" s="1"/>
  <c r="L180" i="1" a="1"/>
  <c r="L180" i="1"/>
  <c r="J180" i="1"/>
  <c r="F180" i="1"/>
  <c r="D180" i="1"/>
  <c r="F179" i="1"/>
  <c r="F178" i="1"/>
  <c r="F177" i="1"/>
  <c r="F176" i="1"/>
  <c r="F175" i="1"/>
  <c r="F174" i="1"/>
  <c r="F173" i="1"/>
  <c r="F172" i="1"/>
  <c r="F171" i="1"/>
  <c r="Q170" i="1"/>
  <c r="Z170" i="1" s="1"/>
  <c r="L170" i="1" a="1"/>
  <c r="L170" i="1"/>
  <c r="J170" i="1"/>
  <c r="F170" i="1"/>
  <c r="D170" i="1"/>
  <c r="F169" i="1"/>
  <c r="F168" i="1"/>
  <c r="F167" i="1"/>
  <c r="F166" i="1"/>
  <c r="F165" i="1"/>
  <c r="F164" i="1"/>
  <c r="F163" i="1"/>
  <c r="F162" i="1"/>
  <c r="F161" i="1"/>
  <c r="Q160" i="1"/>
  <c r="Z160" i="1" s="1"/>
  <c r="L160" i="1" a="1"/>
  <c r="L160" i="1"/>
  <c r="J160" i="1"/>
  <c r="H160" i="1" s="1"/>
  <c r="F160" i="1"/>
  <c r="D160" i="1"/>
  <c r="F159" i="1"/>
  <c r="F158" i="1"/>
  <c r="F157" i="1"/>
  <c r="F156" i="1"/>
  <c r="F155" i="1"/>
  <c r="F154" i="1"/>
  <c r="F153" i="1"/>
  <c r="F152" i="1"/>
  <c r="F151" i="1"/>
  <c r="Q150" i="1"/>
  <c r="Z150" i="1" s="1"/>
  <c r="L150" i="1" a="1"/>
  <c r="L150" i="1"/>
  <c r="J150" i="1"/>
  <c r="F150" i="1"/>
  <c r="D150" i="1"/>
  <c r="F149" i="1"/>
  <c r="F148" i="1"/>
  <c r="F147" i="1"/>
  <c r="F146" i="1"/>
  <c r="F145" i="1"/>
  <c r="F144" i="1"/>
  <c r="F143" i="1"/>
  <c r="F142" i="1"/>
  <c r="F141" i="1"/>
  <c r="Q140" i="1"/>
  <c r="Z140" i="1" s="1"/>
  <c r="L140" i="1" a="1"/>
  <c r="L140" i="1"/>
  <c r="J140" i="1"/>
  <c r="F140" i="1"/>
  <c r="D140" i="1"/>
  <c r="F139" i="1"/>
  <c r="F138" i="1"/>
  <c r="F137" i="1"/>
  <c r="F136" i="1"/>
  <c r="F135" i="1"/>
  <c r="F134" i="1"/>
  <c r="F133" i="1"/>
  <c r="F132" i="1"/>
  <c r="F131" i="1"/>
  <c r="Q130" i="1"/>
  <c r="Z130" i="1" s="1"/>
  <c r="L130" i="1" a="1"/>
  <c r="L130" i="1"/>
  <c r="J130" i="1"/>
  <c r="F130" i="1"/>
  <c r="D130" i="1"/>
  <c r="F129" i="1"/>
  <c r="F128" i="1"/>
  <c r="F127" i="1"/>
  <c r="F126" i="1"/>
  <c r="F125" i="1"/>
  <c r="F124" i="1"/>
  <c r="F123" i="1"/>
  <c r="F122" i="1"/>
  <c r="F121" i="1"/>
  <c r="Q120" i="1"/>
  <c r="Z120" i="1" s="1"/>
  <c r="L120" i="1" a="1"/>
  <c r="L120" i="1"/>
  <c r="J120" i="1"/>
  <c r="F120" i="1"/>
  <c r="D120" i="1"/>
  <c r="F119" i="1"/>
  <c r="F118" i="1"/>
  <c r="F117" i="1"/>
  <c r="F116" i="1"/>
  <c r="F115" i="1"/>
  <c r="F114" i="1"/>
  <c r="F113" i="1"/>
  <c r="F112" i="1"/>
  <c r="F111" i="1"/>
  <c r="Q110" i="1"/>
  <c r="Z110" i="1" s="1"/>
  <c r="L110" i="1" a="1"/>
  <c r="L110" i="1"/>
  <c r="J110" i="1"/>
  <c r="F110" i="1"/>
  <c r="D110" i="1"/>
  <c r="Q109" i="1"/>
  <c r="Z109" i="1" s="1"/>
  <c r="L109" i="1" a="1"/>
  <c r="L109" i="1"/>
  <c r="J109" i="1"/>
  <c r="F109" i="1"/>
  <c r="D109" i="1"/>
  <c r="Q108" i="1"/>
  <c r="Z108" i="1" s="1"/>
  <c r="L108" i="1" a="1"/>
  <c r="L108" i="1"/>
  <c r="J108" i="1"/>
  <c r="F108" i="1"/>
  <c r="D108" i="1"/>
  <c r="Q107" i="1"/>
  <c r="Z107" i="1" s="1"/>
  <c r="L107" i="1" a="1"/>
  <c r="L107" i="1"/>
  <c r="J107" i="1"/>
  <c r="F107" i="1"/>
  <c r="D107" i="1"/>
  <c r="Q106" i="1"/>
  <c r="Z106" i="1" s="1"/>
  <c r="L106" i="1" a="1"/>
  <c r="L106" i="1"/>
  <c r="J106" i="1"/>
  <c r="F106" i="1"/>
  <c r="D106" i="1"/>
  <c r="Q105" i="1"/>
  <c r="Z105" i="1" s="1"/>
  <c r="L105" i="1" a="1"/>
  <c r="L105" i="1"/>
  <c r="J105" i="1"/>
  <c r="F105" i="1"/>
  <c r="D105" i="1"/>
  <c r="Q104" i="1"/>
  <c r="Z104" i="1" s="1"/>
  <c r="L104" i="1" a="1"/>
  <c r="L104" i="1"/>
  <c r="J104" i="1"/>
  <c r="F104" i="1"/>
  <c r="D104" i="1"/>
  <c r="Q103" i="1"/>
  <c r="Z103" i="1" s="1"/>
  <c r="L103" i="1" a="1"/>
  <c r="L103" i="1"/>
  <c r="J103" i="1"/>
  <c r="F103" i="1"/>
  <c r="D103" i="1"/>
  <c r="Q102" i="1"/>
  <c r="Z102" i="1" s="1"/>
  <c r="L102" i="1" a="1"/>
  <c r="L102" i="1"/>
  <c r="J102" i="1"/>
  <c r="F102" i="1"/>
  <c r="D102" i="1"/>
  <c r="Q101" i="1"/>
  <c r="Z101" i="1" s="1"/>
  <c r="L101" i="1" a="1"/>
  <c r="L101" i="1"/>
  <c r="J101" i="1"/>
  <c r="F101" i="1"/>
  <c r="D101" i="1"/>
  <c r="Q100" i="1"/>
  <c r="Z100" i="1" s="1"/>
  <c r="L100" i="1" a="1"/>
  <c r="L100" i="1"/>
  <c r="J100" i="1"/>
  <c r="F100" i="1"/>
  <c r="D100" i="1"/>
  <c r="F99" i="1"/>
  <c r="F98" i="1"/>
  <c r="F97" i="1"/>
  <c r="F96" i="1"/>
  <c r="F95" i="1"/>
  <c r="F94" i="1"/>
  <c r="F93" i="1"/>
  <c r="F92" i="1"/>
  <c r="F91" i="1"/>
  <c r="Q90" i="1"/>
  <c r="Z90" i="1" s="1"/>
  <c r="L90" i="1" a="1"/>
  <c r="L90" i="1"/>
  <c r="J90" i="1"/>
  <c r="F90" i="1"/>
  <c r="D90" i="1"/>
  <c r="F89" i="1"/>
  <c r="F88" i="1"/>
  <c r="F87" i="1"/>
  <c r="F86" i="1"/>
  <c r="F85" i="1"/>
  <c r="F84" i="1"/>
  <c r="F83" i="1"/>
  <c r="F82" i="1"/>
  <c r="F81" i="1"/>
  <c r="Q80" i="1"/>
  <c r="Z80" i="1" s="1"/>
  <c r="L80" i="1" a="1"/>
  <c r="L80" i="1"/>
  <c r="J80" i="1"/>
  <c r="F80" i="1"/>
  <c r="D80" i="1"/>
  <c r="F79" i="1"/>
  <c r="F78" i="1"/>
  <c r="F77" i="1"/>
  <c r="F76" i="1"/>
  <c r="F75" i="1"/>
  <c r="F74" i="1"/>
  <c r="F73" i="1"/>
  <c r="F72" i="1"/>
  <c r="F71" i="1"/>
  <c r="Q70" i="1"/>
  <c r="Z70" i="1" s="1"/>
  <c r="L70" i="1" a="1"/>
  <c r="L70" i="1"/>
  <c r="J70" i="1"/>
  <c r="F70" i="1"/>
  <c r="D70" i="1"/>
  <c r="F69" i="1"/>
  <c r="F68" i="1"/>
  <c r="F67" i="1"/>
  <c r="F66" i="1"/>
  <c r="F65" i="1"/>
  <c r="F64" i="1"/>
  <c r="F63" i="1"/>
  <c r="F62" i="1"/>
  <c r="F61" i="1"/>
  <c r="Q60" i="1"/>
  <c r="Z60" i="1" s="1"/>
  <c r="L60" i="1" a="1"/>
  <c r="L60" i="1"/>
  <c r="J60" i="1"/>
  <c r="F60" i="1"/>
  <c r="D60" i="1"/>
  <c r="F59" i="1"/>
  <c r="F58" i="1"/>
  <c r="F57" i="1"/>
  <c r="F56" i="1"/>
  <c r="F55" i="1"/>
  <c r="F54" i="1"/>
  <c r="F53" i="1"/>
  <c r="F52" i="1"/>
  <c r="F51" i="1"/>
  <c r="Q50" i="1"/>
  <c r="Z50" i="1" s="1"/>
  <c r="L50" i="1" a="1"/>
  <c r="L50" i="1"/>
  <c r="J50" i="1"/>
  <c r="F50" i="1"/>
  <c r="D50" i="1"/>
  <c r="F49" i="1"/>
  <c r="F48" i="1"/>
  <c r="F47" i="1"/>
  <c r="F46" i="1"/>
  <c r="F45" i="1"/>
  <c r="F44" i="1"/>
  <c r="F43" i="1"/>
  <c r="F42" i="1"/>
  <c r="F41" i="1"/>
  <c r="Q40" i="1"/>
  <c r="Z40" i="1" s="1"/>
  <c r="L40" i="1" a="1"/>
  <c r="L40" i="1"/>
  <c r="J40" i="1"/>
  <c r="F40" i="1"/>
  <c r="D40" i="1"/>
  <c r="F39" i="1"/>
  <c r="F38" i="1"/>
  <c r="F37" i="1"/>
  <c r="F36" i="1"/>
  <c r="F35" i="1"/>
  <c r="F34" i="1"/>
  <c r="F33" i="1"/>
  <c r="F32" i="1"/>
  <c r="F31" i="1"/>
  <c r="Q30" i="1"/>
  <c r="Z30" i="1" s="1"/>
  <c r="L30" i="1" a="1"/>
  <c r="L30" i="1"/>
  <c r="J30" i="1"/>
  <c r="F30" i="1"/>
  <c r="D30" i="1"/>
  <c r="F29" i="1"/>
  <c r="F28" i="1"/>
  <c r="F27" i="1"/>
  <c r="F26" i="1"/>
  <c r="F25" i="1"/>
  <c r="F24" i="1"/>
  <c r="F23" i="1"/>
  <c r="F22" i="1"/>
  <c r="F21" i="1"/>
  <c r="Q20" i="1"/>
  <c r="Z20" i="1" s="1"/>
  <c r="L20" i="1" a="1"/>
  <c r="L20" i="1"/>
  <c r="J20" i="1"/>
  <c r="F20" i="1"/>
  <c r="D20" i="1"/>
  <c r="F19" i="1"/>
  <c r="F18" i="1"/>
  <c r="F17" i="1"/>
  <c r="F16" i="1"/>
  <c r="F15" i="1"/>
  <c r="F14" i="1"/>
  <c r="F13" i="1"/>
  <c r="F12" i="1"/>
  <c r="F11" i="1"/>
  <c r="Q10" i="1"/>
  <c r="Z10" i="1" s="1"/>
  <c r="L10" i="1" a="1"/>
  <c r="L10" i="1"/>
  <c r="J10" i="1"/>
  <c r="F10" i="1"/>
  <c r="D10" i="1"/>
  <c r="F9" i="1"/>
  <c r="F8" i="1"/>
  <c r="F7" i="1"/>
  <c r="F6" i="1"/>
  <c r="F5" i="1"/>
  <c r="F4" i="1"/>
  <c r="F3" i="1"/>
  <c r="Z3" i="1"/>
  <c r="Z4" i="1"/>
  <c r="Z5" i="1"/>
  <c r="Z6" i="1"/>
  <c r="Z7" i="1"/>
  <c r="Q8" i="1"/>
  <c r="Z8" i="1" s="1"/>
  <c r="Q9" i="1"/>
  <c r="Z9" i="1" s="1"/>
  <c r="Q11" i="1"/>
  <c r="Z11" i="1" s="1"/>
  <c r="Q12" i="1"/>
  <c r="Z12" i="1" s="1"/>
  <c r="Q13" i="1"/>
  <c r="Z13" i="1" s="1"/>
  <c r="Q14" i="1"/>
  <c r="Z14" i="1" s="1"/>
  <c r="Q15" i="1"/>
  <c r="Z15" i="1" s="1"/>
  <c r="Q16" i="1"/>
  <c r="Z16" i="1" s="1"/>
  <c r="Q17" i="1"/>
  <c r="Z17" i="1" s="1"/>
  <c r="Q18" i="1"/>
  <c r="Z18" i="1" s="1"/>
  <c r="Q19" i="1"/>
  <c r="Z19" i="1" s="1"/>
  <c r="Q21" i="1"/>
  <c r="Z21" i="1" s="1"/>
  <c r="Q22" i="1"/>
  <c r="Z22" i="1" s="1"/>
  <c r="Q23" i="1"/>
  <c r="Z23" i="1" s="1"/>
  <c r="Q24" i="1"/>
  <c r="Z24" i="1" s="1"/>
  <c r="Q25" i="1"/>
  <c r="Z25" i="1" s="1"/>
  <c r="Q26" i="1"/>
  <c r="Z26" i="1" s="1"/>
  <c r="Q27" i="1"/>
  <c r="Z27" i="1" s="1"/>
  <c r="Q28" i="1"/>
  <c r="Z28" i="1" s="1"/>
  <c r="Q29" i="1"/>
  <c r="Z29" i="1" s="1"/>
  <c r="Q31" i="1"/>
  <c r="Z31" i="1" s="1"/>
  <c r="Q32" i="1"/>
  <c r="Z32" i="1" s="1"/>
  <c r="Q33" i="1"/>
  <c r="Z33" i="1" s="1"/>
  <c r="Q34" i="1"/>
  <c r="Z34" i="1" s="1"/>
  <c r="Q35" i="1"/>
  <c r="Z35" i="1" s="1"/>
  <c r="Q36" i="1"/>
  <c r="Z36" i="1" s="1"/>
  <c r="Q37" i="1"/>
  <c r="Z37" i="1" s="1"/>
  <c r="Q38" i="1"/>
  <c r="Z38" i="1" s="1"/>
  <c r="Q39" i="1"/>
  <c r="Z39" i="1" s="1"/>
  <c r="Q41" i="1"/>
  <c r="Z41" i="1" s="1"/>
  <c r="Q42" i="1"/>
  <c r="Z42" i="1" s="1"/>
  <c r="Q43" i="1"/>
  <c r="Z43" i="1" s="1"/>
  <c r="Q44" i="1"/>
  <c r="Z44" i="1" s="1"/>
  <c r="Q45" i="1"/>
  <c r="Z45" i="1" s="1"/>
  <c r="Q46" i="1"/>
  <c r="Z46" i="1" s="1"/>
  <c r="Q47" i="1"/>
  <c r="Z47" i="1" s="1"/>
  <c r="Q48" i="1"/>
  <c r="Z48" i="1" s="1"/>
  <c r="Q49" i="1"/>
  <c r="Z49" i="1" s="1"/>
  <c r="Q51" i="1"/>
  <c r="Z51" i="1" s="1"/>
  <c r="Q52" i="1"/>
  <c r="Z52" i="1" s="1"/>
  <c r="Q53" i="1"/>
  <c r="Z53" i="1" s="1"/>
  <c r="Q54" i="1"/>
  <c r="Z54" i="1" s="1"/>
  <c r="Q55" i="1"/>
  <c r="Z55" i="1" s="1"/>
  <c r="Q56" i="1"/>
  <c r="Z56" i="1" s="1"/>
  <c r="Q57" i="1"/>
  <c r="Z57" i="1" s="1"/>
  <c r="Q58" i="1"/>
  <c r="Z58" i="1" s="1"/>
  <c r="Q59" i="1"/>
  <c r="Z59" i="1" s="1"/>
  <c r="Q61" i="1"/>
  <c r="Z61" i="1" s="1"/>
  <c r="Q62" i="1"/>
  <c r="Z62" i="1" s="1"/>
  <c r="Q63" i="1"/>
  <c r="Z63" i="1" s="1"/>
  <c r="Q64" i="1"/>
  <c r="Z64" i="1" s="1"/>
  <c r="Q65" i="1"/>
  <c r="Z65" i="1" s="1"/>
  <c r="Q66" i="1"/>
  <c r="Z66" i="1" s="1"/>
  <c r="Q67" i="1"/>
  <c r="Z67" i="1" s="1"/>
  <c r="Q68" i="1"/>
  <c r="Z68" i="1" s="1"/>
  <c r="Q69" i="1"/>
  <c r="Z69" i="1" s="1"/>
  <c r="Q71" i="1"/>
  <c r="Z71" i="1" s="1"/>
  <c r="Q72" i="1"/>
  <c r="Z72" i="1" s="1"/>
  <c r="Q73" i="1"/>
  <c r="Z73" i="1" s="1"/>
  <c r="Q74" i="1"/>
  <c r="Z74" i="1" s="1"/>
  <c r="Q75" i="1"/>
  <c r="Z75" i="1" s="1"/>
  <c r="Q76" i="1"/>
  <c r="Z76" i="1" s="1"/>
  <c r="Q77" i="1"/>
  <c r="Z77" i="1" s="1"/>
  <c r="Q78" i="1"/>
  <c r="Z78" i="1" s="1"/>
  <c r="Q79" i="1"/>
  <c r="Z79" i="1" s="1"/>
  <c r="Q81" i="1"/>
  <c r="Z81" i="1" s="1"/>
  <c r="Q82" i="1"/>
  <c r="Z82" i="1" s="1"/>
  <c r="Q83" i="1"/>
  <c r="Z83" i="1" s="1"/>
  <c r="Q84" i="1"/>
  <c r="Z84" i="1" s="1"/>
  <c r="Q85" i="1"/>
  <c r="Z85" i="1" s="1"/>
  <c r="Q86" i="1"/>
  <c r="Z86" i="1" s="1"/>
  <c r="Q87" i="1"/>
  <c r="Z87" i="1" s="1"/>
  <c r="Q88" i="1"/>
  <c r="Z88" i="1" s="1"/>
  <c r="Q89" i="1"/>
  <c r="Z89" i="1" s="1"/>
  <c r="Q91" i="1"/>
  <c r="Z91" i="1" s="1"/>
  <c r="Q92" i="1"/>
  <c r="Z92" i="1" s="1"/>
  <c r="Q93" i="1"/>
  <c r="Z93" i="1" s="1"/>
  <c r="Q94" i="1"/>
  <c r="Z94" i="1" s="1"/>
  <c r="Q95" i="1"/>
  <c r="Z95" i="1" s="1"/>
  <c r="Q96" i="1"/>
  <c r="Z96" i="1" s="1"/>
  <c r="Q97" i="1"/>
  <c r="Z97" i="1" s="1"/>
  <c r="Q98" i="1"/>
  <c r="Z98" i="1" s="1"/>
  <c r="Q99" i="1"/>
  <c r="Z99" i="1" s="1"/>
  <c r="Q111" i="1"/>
  <c r="Z111" i="1" s="1"/>
  <c r="Q112" i="1"/>
  <c r="Z112" i="1" s="1"/>
  <c r="Q113" i="1"/>
  <c r="Z113" i="1" s="1"/>
  <c r="Q114" i="1"/>
  <c r="Z114" i="1" s="1"/>
  <c r="Q115" i="1"/>
  <c r="Z115" i="1" s="1"/>
  <c r="Q116" i="1"/>
  <c r="Z116" i="1" s="1"/>
  <c r="Q117" i="1"/>
  <c r="Z117" i="1" s="1"/>
  <c r="Q118" i="1"/>
  <c r="Z118" i="1" s="1"/>
  <c r="Q119" i="1"/>
  <c r="Z119" i="1" s="1"/>
  <c r="Q121" i="1"/>
  <c r="Z121" i="1" s="1"/>
  <c r="Q122" i="1"/>
  <c r="Z122" i="1" s="1"/>
  <c r="Q123" i="1"/>
  <c r="Z123" i="1" s="1"/>
  <c r="Q124" i="1"/>
  <c r="Z124" i="1" s="1"/>
  <c r="Q125" i="1"/>
  <c r="Z125" i="1" s="1"/>
  <c r="Q126" i="1"/>
  <c r="Z126" i="1" s="1"/>
  <c r="Q127" i="1"/>
  <c r="Z127" i="1" s="1"/>
  <c r="Q128" i="1"/>
  <c r="Z128" i="1" s="1"/>
  <c r="Q129" i="1"/>
  <c r="Z129" i="1" s="1"/>
  <c r="Q131" i="1"/>
  <c r="Z131" i="1" s="1"/>
  <c r="Q132" i="1"/>
  <c r="Z132" i="1" s="1"/>
  <c r="Q133" i="1"/>
  <c r="Z133" i="1" s="1"/>
  <c r="Q134" i="1"/>
  <c r="Z134" i="1" s="1"/>
  <c r="Q135" i="1"/>
  <c r="Z135" i="1" s="1"/>
  <c r="Q136" i="1"/>
  <c r="Z136" i="1" s="1"/>
  <c r="Q137" i="1"/>
  <c r="Z137" i="1" s="1"/>
  <c r="Q138" i="1"/>
  <c r="Z138" i="1" s="1"/>
  <c r="Q139" i="1"/>
  <c r="Z139" i="1" s="1"/>
  <c r="Q141" i="1"/>
  <c r="Z141" i="1" s="1"/>
  <c r="Q142" i="1"/>
  <c r="Z142" i="1" s="1"/>
  <c r="Q143" i="1"/>
  <c r="Z143" i="1" s="1"/>
  <c r="Q144" i="1"/>
  <c r="Z144" i="1" s="1"/>
  <c r="Q145" i="1"/>
  <c r="Z145" i="1" s="1"/>
  <c r="Q146" i="1"/>
  <c r="Z146" i="1" s="1"/>
  <c r="Q147" i="1"/>
  <c r="Z147" i="1" s="1"/>
  <c r="Q148" i="1"/>
  <c r="Z148" i="1" s="1"/>
  <c r="Q149" i="1"/>
  <c r="Z149" i="1" s="1"/>
  <c r="Q151" i="1"/>
  <c r="Z151" i="1" s="1"/>
  <c r="Q152" i="1"/>
  <c r="Z152" i="1" s="1"/>
  <c r="Q153" i="1"/>
  <c r="Z153" i="1" s="1"/>
  <c r="Q154" i="1"/>
  <c r="Z154" i="1" s="1"/>
  <c r="Q155" i="1"/>
  <c r="Z155" i="1" s="1"/>
  <c r="Q156" i="1"/>
  <c r="Z156" i="1" s="1"/>
  <c r="Q157" i="1"/>
  <c r="Z157" i="1" s="1"/>
  <c r="Q158" i="1"/>
  <c r="Z158" i="1" s="1"/>
  <c r="Q159" i="1"/>
  <c r="Z159" i="1" s="1"/>
  <c r="Q161" i="1"/>
  <c r="Z161" i="1" s="1"/>
  <c r="Q162" i="1"/>
  <c r="Z162" i="1" s="1"/>
  <c r="Q163" i="1"/>
  <c r="Z163" i="1" s="1"/>
  <c r="Q164" i="1"/>
  <c r="Z164" i="1" s="1"/>
  <c r="Q165" i="1"/>
  <c r="Z165" i="1" s="1"/>
  <c r="Q166" i="1"/>
  <c r="Z166" i="1" s="1"/>
  <c r="Q167" i="1"/>
  <c r="Z167" i="1" s="1"/>
  <c r="Q168" i="1"/>
  <c r="Z168" i="1" s="1"/>
  <c r="Q169" i="1"/>
  <c r="Z169" i="1" s="1"/>
  <c r="Q171" i="1"/>
  <c r="Z171" i="1" s="1"/>
  <c r="Q172" i="1"/>
  <c r="Z172" i="1" s="1"/>
  <c r="Q173" i="1"/>
  <c r="Z173" i="1" s="1"/>
  <c r="Q174" i="1"/>
  <c r="Z174" i="1" s="1"/>
  <c r="Q175" i="1"/>
  <c r="Z175" i="1" s="1"/>
  <c r="Q176" i="1"/>
  <c r="Z176" i="1" s="1"/>
  <c r="Q177" i="1"/>
  <c r="Z177" i="1" s="1"/>
  <c r="Q178" i="1"/>
  <c r="Z178" i="1" s="1"/>
  <c r="Q179" i="1"/>
  <c r="Z179" i="1" s="1"/>
  <c r="Q181" i="1"/>
  <c r="Z181" i="1" s="1"/>
  <c r="Q182" i="1"/>
  <c r="Z182" i="1" s="1"/>
  <c r="Q183" i="1"/>
  <c r="Z183" i="1" s="1"/>
  <c r="Q184" i="1"/>
  <c r="Z184" i="1" s="1"/>
  <c r="Q185" i="1"/>
  <c r="Z185" i="1" s="1"/>
  <c r="Q186" i="1"/>
  <c r="Z186" i="1" s="1"/>
  <c r="Q187" i="1"/>
  <c r="Z187" i="1" s="1"/>
  <c r="Q188" i="1"/>
  <c r="Z188" i="1" s="1"/>
  <c r="Q189" i="1"/>
  <c r="Z189" i="1" s="1"/>
  <c r="Q191" i="1"/>
  <c r="Z191" i="1" s="1"/>
  <c r="Q192" i="1"/>
  <c r="Z192" i="1" s="1"/>
  <c r="Q193" i="1"/>
  <c r="Z193" i="1" s="1"/>
  <c r="Q194" i="1"/>
  <c r="Z194" i="1" s="1"/>
  <c r="Q195" i="1"/>
  <c r="Z195" i="1" s="1"/>
  <c r="Q196" i="1"/>
  <c r="Z196" i="1" s="1"/>
  <c r="Q197" i="1"/>
  <c r="Z197" i="1" s="1"/>
  <c r="Q198" i="1"/>
  <c r="Z198" i="1" s="1"/>
  <c r="Q199" i="1"/>
  <c r="Z199" i="1" s="1"/>
  <c r="Q211" i="1"/>
  <c r="Z211" i="1" s="1"/>
  <c r="Q212" i="1"/>
  <c r="Z212" i="1" s="1"/>
  <c r="Q213" i="1"/>
  <c r="Z213" i="1" s="1"/>
  <c r="Q214" i="1"/>
  <c r="Z214" i="1" s="1"/>
  <c r="Q215" i="1"/>
  <c r="Z215" i="1" s="1"/>
  <c r="Q216" i="1"/>
  <c r="Z216" i="1" s="1"/>
  <c r="Q217" i="1"/>
  <c r="Z217" i="1" s="1"/>
  <c r="Q218" i="1"/>
  <c r="Z218" i="1" s="1"/>
  <c r="Q219" i="1"/>
  <c r="Z219" i="1" s="1"/>
  <c r="Q221" i="1"/>
  <c r="Z221" i="1" s="1"/>
  <c r="Q222" i="1"/>
  <c r="Z222" i="1" s="1"/>
  <c r="Q223" i="1"/>
  <c r="Z223" i="1" s="1"/>
  <c r="Q224" i="1"/>
  <c r="Z224" i="1" s="1"/>
  <c r="Q225" i="1"/>
  <c r="Z225" i="1" s="1"/>
  <c r="Q226" i="1"/>
  <c r="Z226" i="1" s="1"/>
  <c r="Q227" i="1"/>
  <c r="Z227" i="1" s="1"/>
  <c r="Q228" i="1"/>
  <c r="Z228" i="1" s="1"/>
  <c r="Q229" i="1"/>
  <c r="Z229" i="1" s="1"/>
  <c r="Q231" i="1"/>
  <c r="Z231" i="1" s="1"/>
  <c r="Q232" i="1"/>
  <c r="Z232" i="1" s="1"/>
  <c r="Q233" i="1"/>
  <c r="Z233" i="1" s="1"/>
  <c r="Q234" i="1"/>
  <c r="Z234" i="1" s="1"/>
  <c r="Q235" i="1"/>
  <c r="Z235" i="1" s="1"/>
  <c r="Q236" i="1"/>
  <c r="Z236" i="1" s="1"/>
  <c r="Q237" i="1"/>
  <c r="Z237" i="1" s="1"/>
  <c r="Q238" i="1"/>
  <c r="Z238" i="1" s="1"/>
  <c r="Q239" i="1"/>
  <c r="Z239" i="1" s="1"/>
  <c r="Q241" i="1"/>
  <c r="Z241" i="1" s="1"/>
  <c r="Q242" i="1"/>
  <c r="Z242" i="1" s="1"/>
  <c r="Q243" i="1"/>
  <c r="Z243" i="1" s="1"/>
  <c r="Q244" i="1"/>
  <c r="Z244" i="1" s="1"/>
  <c r="Q245" i="1"/>
  <c r="Z245" i="1" s="1"/>
  <c r="Q246" i="1"/>
  <c r="Z246" i="1" s="1"/>
  <c r="Q247" i="1"/>
  <c r="Z247" i="1" s="1"/>
  <c r="Q248" i="1"/>
  <c r="Z248" i="1" s="1"/>
  <c r="Q249" i="1"/>
  <c r="Z249" i="1" s="1"/>
  <c r="Q251" i="1"/>
  <c r="Z251" i="1" s="1"/>
  <c r="Q252" i="1"/>
  <c r="Z252" i="1" s="1"/>
  <c r="Q253" i="1"/>
  <c r="Z253" i="1" s="1"/>
  <c r="Q254" i="1"/>
  <c r="Z254" i="1" s="1"/>
  <c r="Q255" i="1"/>
  <c r="Z255" i="1" s="1"/>
  <c r="Q256" i="1"/>
  <c r="Z256" i="1" s="1"/>
  <c r="Q257" i="1"/>
  <c r="Z257" i="1" s="1"/>
  <c r="Q258" i="1"/>
  <c r="Z258" i="1" s="1"/>
  <c r="Q259" i="1"/>
  <c r="Z259" i="1" s="1"/>
  <c r="Q261" i="1"/>
  <c r="Z261" i="1" s="1"/>
  <c r="Q262" i="1"/>
  <c r="Z262" i="1" s="1"/>
  <c r="Q263" i="1"/>
  <c r="Z263" i="1" s="1"/>
  <c r="Q264" i="1"/>
  <c r="Z264" i="1" s="1"/>
  <c r="Q265" i="1"/>
  <c r="Z265" i="1" s="1"/>
  <c r="Q266" i="1"/>
  <c r="Z266" i="1" s="1"/>
  <c r="Q267" i="1"/>
  <c r="Z267" i="1" s="1"/>
  <c r="Q268" i="1"/>
  <c r="Z268" i="1" s="1"/>
  <c r="Q269" i="1"/>
  <c r="Z269" i="1" s="1"/>
  <c r="Q271" i="1"/>
  <c r="Z271" i="1" s="1"/>
  <c r="Q272" i="1"/>
  <c r="Z272" i="1" s="1"/>
  <c r="Q273" i="1"/>
  <c r="Z273" i="1" s="1"/>
  <c r="Q274" i="1"/>
  <c r="Z274" i="1" s="1"/>
  <c r="Q275" i="1"/>
  <c r="Z275" i="1" s="1"/>
  <c r="Q276" i="1"/>
  <c r="Z276" i="1" s="1"/>
  <c r="Q277" i="1"/>
  <c r="Z277" i="1" s="1"/>
  <c r="Q278" i="1"/>
  <c r="Z278" i="1" s="1"/>
  <c r="Q279" i="1"/>
  <c r="Z279" i="1" s="1"/>
  <c r="Q281" i="1"/>
  <c r="Z281" i="1" s="1"/>
  <c r="Q282" i="1"/>
  <c r="Z282" i="1" s="1"/>
  <c r="Q283" i="1"/>
  <c r="Z283" i="1" s="1"/>
  <c r="Q284" i="1"/>
  <c r="Z284" i="1" s="1"/>
  <c r="Q285" i="1"/>
  <c r="Z285" i="1" s="1"/>
  <c r="Q286" i="1"/>
  <c r="Z286" i="1" s="1"/>
  <c r="Q287" i="1"/>
  <c r="Z287" i="1" s="1"/>
  <c r="Q288" i="1"/>
  <c r="Z288" i="1" s="1"/>
  <c r="Q289" i="1"/>
  <c r="Z289" i="1" s="1"/>
  <c r="Q291" i="1"/>
  <c r="Z291" i="1" s="1"/>
  <c r="Q292" i="1"/>
  <c r="Z292" i="1" s="1"/>
  <c r="Q293" i="1"/>
  <c r="Z293" i="1" s="1"/>
  <c r="Q294" i="1"/>
  <c r="Z294" i="1" s="1"/>
  <c r="Q295" i="1"/>
  <c r="Z295" i="1" s="1"/>
  <c r="Q296" i="1"/>
  <c r="Z296" i="1" s="1"/>
  <c r="Q297" i="1"/>
  <c r="Z297" i="1" s="1"/>
  <c r="Q298" i="1"/>
  <c r="Z298" i="1" s="1"/>
  <c r="Q299" i="1"/>
  <c r="Z299" i="1" s="1"/>
  <c r="Q311" i="1"/>
  <c r="Z311" i="1" s="1"/>
  <c r="Q312" i="1"/>
  <c r="Z312" i="1" s="1"/>
  <c r="Q313" i="1"/>
  <c r="Z313" i="1" s="1"/>
  <c r="Q314" i="1"/>
  <c r="Z314" i="1" s="1"/>
  <c r="Q315" i="1"/>
  <c r="Z315" i="1" s="1"/>
  <c r="Q316" i="1"/>
  <c r="Z316" i="1" s="1"/>
  <c r="Q317" i="1"/>
  <c r="Z317" i="1" s="1"/>
  <c r="Q318" i="1"/>
  <c r="Z318" i="1" s="1"/>
  <c r="Q319" i="1"/>
  <c r="Z319" i="1" s="1"/>
  <c r="Q321" i="1"/>
  <c r="Z321" i="1" s="1"/>
  <c r="Q322" i="1"/>
  <c r="Z322" i="1" s="1"/>
  <c r="Q323" i="1"/>
  <c r="Z323" i="1" s="1"/>
  <c r="Q324" i="1"/>
  <c r="Z324" i="1" s="1"/>
  <c r="Q325" i="1"/>
  <c r="Z325" i="1" s="1"/>
  <c r="Q326" i="1"/>
  <c r="Z326" i="1" s="1"/>
  <c r="Q327" i="1"/>
  <c r="Z327" i="1" s="1"/>
  <c r="Q328" i="1"/>
  <c r="Z328" i="1" s="1"/>
  <c r="Q329" i="1"/>
  <c r="Z329" i="1" s="1"/>
  <c r="Q331" i="1"/>
  <c r="Z331" i="1" s="1"/>
  <c r="Q332" i="1"/>
  <c r="Z332" i="1" s="1"/>
  <c r="Q333" i="1"/>
  <c r="Z333" i="1" s="1"/>
  <c r="Q334" i="1"/>
  <c r="Z334" i="1" s="1"/>
  <c r="Q335" i="1"/>
  <c r="Z335" i="1" s="1"/>
  <c r="Q336" i="1"/>
  <c r="Z336" i="1" s="1"/>
  <c r="Q337" i="1"/>
  <c r="Z337" i="1" s="1"/>
  <c r="Q338" i="1"/>
  <c r="Z338" i="1" s="1"/>
  <c r="Q339" i="1"/>
  <c r="Z339" i="1" s="1"/>
  <c r="Q341" i="1"/>
  <c r="Z341" i="1" s="1"/>
  <c r="Q342" i="1"/>
  <c r="Z342" i="1" s="1"/>
  <c r="Q343" i="1"/>
  <c r="Z343" i="1" s="1"/>
  <c r="Q344" i="1"/>
  <c r="Z344" i="1" s="1"/>
  <c r="Q345" i="1"/>
  <c r="Z345" i="1" s="1"/>
  <c r="Q346" i="1"/>
  <c r="Z346" i="1" s="1"/>
  <c r="Q347" i="1"/>
  <c r="Z347" i="1" s="1"/>
  <c r="Q348" i="1"/>
  <c r="Z348" i="1" s="1"/>
  <c r="Q349" i="1"/>
  <c r="Z349" i="1" s="1"/>
  <c r="Q351" i="1"/>
  <c r="Z351" i="1" s="1"/>
  <c r="Q352" i="1"/>
  <c r="Z352" i="1" s="1"/>
  <c r="Q353" i="1"/>
  <c r="Z353" i="1" s="1"/>
  <c r="Q354" i="1"/>
  <c r="Z354" i="1" s="1"/>
  <c r="Q355" i="1"/>
  <c r="Z355" i="1" s="1"/>
  <c r="Q356" i="1"/>
  <c r="Z356" i="1" s="1"/>
  <c r="Q357" i="1"/>
  <c r="Z357" i="1" s="1"/>
  <c r="Q358" i="1"/>
  <c r="Z358" i="1" s="1"/>
  <c r="Q359" i="1"/>
  <c r="Z359" i="1" s="1"/>
  <c r="Q361" i="1"/>
  <c r="Z361" i="1" s="1"/>
  <c r="Q362" i="1"/>
  <c r="Z362" i="1" s="1"/>
  <c r="Q363" i="1"/>
  <c r="Z363" i="1" s="1"/>
  <c r="Q364" i="1"/>
  <c r="Z364" i="1" s="1"/>
  <c r="Q365" i="1"/>
  <c r="Z365" i="1" s="1"/>
  <c r="Q366" i="1"/>
  <c r="Z366" i="1" s="1"/>
  <c r="Q367" i="1"/>
  <c r="Z367" i="1" s="1"/>
  <c r="Q368" i="1"/>
  <c r="Z368" i="1" s="1"/>
  <c r="Q369" i="1"/>
  <c r="Z369" i="1" s="1"/>
  <c r="Z2" i="1"/>
  <c r="L3" i="1" a="1"/>
  <c r="L3" i="1"/>
  <c r="L4" i="1" a="1"/>
  <c r="L4" i="1"/>
  <c r="L5" i="1" a="1"/>
  <c r="L5" i="1"/>
  <c r="L6" i="1" a="1"/>
  <c r="L6" i="1"/>
  <c r="L7" i="1" a="1"/>
  <c r="L7" i="1"/>
  <c r="L8" i="1" a="1"/>
  <c r="L8" i="1"/>
  <c r="L9" i="1" a="1"/>
  <c r="L9" i="1"/>
  <c r="L11" i="1" a="1"/>
  <c r="L11" i="1"/>
  <c r="L12" i="1" a="1"/>
  <c r="L12" i="1"/>
  <c r="L13" i="1" a="1"/>
  <c r="L13" i="1"/>
  <c r="L14" i="1" a="1"/>
  <c r="L14" i="1"/>
  <c r="L15" i="1" a="1"/>
  <c r="L15" i="1"/>
  <c r="L16" i="1" a="1"/>
  <c r="L16" i="1"/>
  <c r="L17" i="1" a="1"/>
  <c r="L17" i="1"/>
  <c r="L18" i="1" a="1"/>
  <c r="L18" i="1"/>
  <c r="L19" i="1" a="1"/>
  <c r="L19" i="1"/>
  <c r="L21" i="1" a="1"/>
  <c r="L21" i="1"/>
  <c r="L22" i="1" a="1"/>
  <c r="L22" i="1"/>
  <c r="L23" i="1" a="1"/>
  <c r="L23" i="1"/>
  <c r="L24" i="1" a="1"/>
  <c r="L24" i="1"/>
  <c r="L25" i="1" a="1"/>
  <c r="L25" i="1"/>
  <c r="L26" i="1" a="1"/>
  <c r="L26" i="1"/>
  <c r="L27" i="1" a="1"/>
  <c r="L27" i="1"/>
  <c r="L28" i="1" a="1"/>
  <c r="L28" i="1"/>
  <c r="L29" i="1" a="1"/>
  <c r="L29" i="1"/>
  <c r="L31" i="1" a="1"/>
  <c r="L31" i="1"/>
  <c r="L32" i="1" a="1"/>
  <c r="L32" i="1"/>
  <c r="L33" i="1" a="1"/>
  <c r="L33" i="1"/>
  <c r="L34" i="1" a="1"/>
  <c r="L34" i="1"/>
  <c r="L35" i="1" a="1"/>
  <c r="L35" i="1"/>
  <c r="L36" i="1" a="1"/>
  <c r="L36" i="1"/>
  <c r="L37" i="1" a="1"/>
  <c r="L37" i="1"/>
  <c r="L38" i="1" a="1"/>
  <c r="L38" i="1"/>
  <c r="L39" i="1" a="1"/>
  <c r="L39" i="1"/>
  <c r="L41" i="1" a="1"/>
  <c r="L41" i="1"/>
  <c r="L42" i="1" a="1"/>
  <c r="L42" i="1"/>
  <c r="L43" i="1" a="1"/>
  <c r="L43" i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1" i="1" a="1"/>
  <c r="L51" i="1"/>
  <c r="L52" i="1" a="1"/>
  <c r="L52" i="1"/>
  <c r="L53" i="1" a="1"/>
  <c r="L53" i="1"/>
  <c r="L54" i="1" a="1"/>
  <c r="L54" i="1"/>
  <c r="L55" i="1" a="1"/>
  <c r="L55" i="1"/>
  <c r="L56" i="1" a="1"/>
  <c r="L56" i="1"/>
  <c r="L57" i="1" a="1"/>
  <c r="L57" i="1"/>
  <c r="L58" i="1" a="1"/>
  <c r="L58" i="1"/>
  <c r="L59" i="1" a="1"/>
  <c r="L59" i="1"/>
  <c r="L61" i="1" a="1"/>
  <c r="L61" i="1"/>
  <c r="L62" i="1" a="1"/>
  <c r="L62" i="1"/>
  <c r="L63" i="1" a="1"/>
  <c r="L63" i="1"/>
  <c r="L64" i="1" a="1"/>
  <c r="L64" i="1"/>
  <c r="L65" i="1" a="1"/>
  <c r="L65" i="1"/>
  <c r="L66" i="1" a="1"/>
  <c r="L66" i="1"/>
  <c r="L67" i="1" a="1"/>
  <c r="L67" i="1"/>
  <c r="L68" i="1" a="1"/>
  <c r="L68" i="1"/>
  <c r="L69" i="1" a="1"/>
  <c r="L69" i="1"/>
  <c r="L71" i="1" a="1"/>
  <c r="L71" i="1"/>
  <c r="L72" i="1" a="1"/>
  <c r="L72" i="1"/>
  <c r="L73" i="1" a="1"/>
  <c r="L73" i="1"/>
  <c r="L74" i="1" a="1"/>
  <c r="L74" i="1"/>
  <c r="L75" i="1" a="1"/>
  <c r="L75" i="1"/>
  <c r="L76" i="1" a="1"/>
  <c r="L76" i="1"/>
  <c r="L77" i="1" a="1"/>
  <c r="L77" i="1"/>
  <c r="L78" i="1" a="1"/>
  <c r="L78" i="1"/>
  <c r="L79" i="1" a="1"/>
  <c r="L79" i="1"/>
  <c r="L81" i="1" a="1"/>
  <c r="L81" i="1"/>
  <c r="L82" i="1" a="1"/>
  <c r="L82" i="1"/>
  <c r="L83" i="1" a="1"/>
  <c r="L83" i="1"/>
  <c r="L84" i="1" a="1"/>
  <c r="L84" i="1"/>
  <c r="L85" i="1" a="1"/>
  <c r="L85" i="1"/>
  <c r="L86" i="1" a="1"/>
  <c r="L86" i="1"/>
  <c r="L87" i="1" a="1"/>
  <c r="L87" i="1"/>
  <c r="L88" i="1" a="1"/>
  <c r="L88" i="1"/>
  <c r="L89" i="1" a="1"/>
  <c r="L89" i="1"/>
  <c r="L91" i="1" a="1"/>
  <c r="L91" i="1"/>
  <c r="L92" i="1" a="1"/>
  <c r="L92" i="1"/>
  <c r="L93" i="1" a="1"/>
  <c r="L93" i="1"/>
  <c r="L94" i="1" a="1"/>
  <c r="L94" i="1"/>
  <c r="L95" i="1" a="1"/>
  <c r="L95" i="1"/>
  <c r="L96" i="1" a="1"/>
  <c r="L96" i="1"/>
  <c r="L97" i="1" a="1"/>
  <c r="L97" i="1"/>
  <c r="L98" i="1" a="1"/>
  <c r="L98" i="1"/>
  <c r="L99" i="1" a="1"/>
  <c r="L99" i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1" i="1" a="1"/>
  <c r="L121" i="1"/>
  <c r="L122" i="1" a="1"/>
  <c r="L122" i="1"/>
  <c r="L123" i="1" a="1"/>
  <c r="L123" i="1"/>
  <c r="L124" i="1" a="1"/>
  <c r="L124" i="1"/>
  <c r="L125" i="1" a="1"/>
  <c r="L125" i="1"/>
  <c r="L126" i="1" a="1"/>
  <c r="L126" i="1"/>
  <c r="L127" i="1" a="1"/>
  <c r="L127" i="1"/>
  <c r="L128" i="1" a="1"/>
  <c r="L128" i="1"/>
  <c r="L129" i="1" a="1"/>
  <c r="L129" i="1"/>
  <c r="L131" i="1" a="1"/>
  <c r="L131" i="1"/>
  <c r="L132" i="1" a="1"/>
  <c r="L132" i="1"/>
  <c r="L133" i="1" a="1"/>
  <c r="L133" i="1"/>
  <c r="L134" i="1" a="1"/>
  <c r="L134" i="1"/>
  <c r="L135" i="1" a="1"/>
  <c r="L135" i="1"/>
  <c r="L136" i="1" a="1"/>
  <c r="L136" i="1"/>
  <c r="L137" i="1" a="1"/>
  <c r="L137" i="1"/>
  <c r="L138" i="1" a="1"/>
  <c r="L138" i="1"/>
  <c r="L139" i="1" a="1"/>
  <c r="L139" i="1"/>
  <c r="L141" i="1" a="1"/>
  <c r="L141" i="1"/>
  <c r="L142" i="1" a="1"/>
  <c r="L142" i="1"/>
  <c r="L143" i="1" a="1"/>
  <c r="L143" i="1"/>
  <c r="L144" i="1" a="1"/>
  <c r="L144" i="1"/>
  <c r="L145" i="1" a="1"/>
  <c r="L145" i="1"/>
  <c r="L146" i="1" a="1"/>
  <c r="L146" i="1"/>
  <c r="L147" i="1" a="1"/>
  <c r="L147" i="1"/>
  <c r="L148" i="1" a="1"/>
  <c r="L148" i="1"/>
  <c r="L149" i="1" a="1"/>
  <c r="L149" i="1"/>
  <c r="L151" i="1" a="1"/>
  <c r="L151" i="1"/>
  <c r="L152" i="1" a="1"/>
  <c r="L152" i="1"/>
  <c r="L153" i="1" a="1"/>
  <c r="L153" i="1"/>
  <c r="L154" i="1" a="1"/>
  <c r="L154" i="1"/>
  <c r="L155" i="1" a="1"/>
  <c r="L155" i="1"/>
  <c r="L156" i="1" a="1"/>
  <c r="L156" i="1"/>
  <c r="L157" i="1" a="1"/>
  <c r="L157" i="1"/>
  <c r="L158" i="1" a="1"/>
  <c r="L158" i="1"/>
  <c r="L159" i="1" a="1"/>
  <c r="L159" i="1"/>
  <c r="L161" i="1" a="1"/>
  <c r="L161" i="1"/>
  <c r="L162" i="1" a="1"/>
  <c r="L162" i="1"/>
  <c r="L163" i="1" a="1"/>
  <c r="L163" i="1"/>
  <c r="L164" i="1" a="1"/>
  <c r="L164" i="1"/>
  <c r="L165" i="1" a="1"/>
  <c r="L165" i="1"/>
  <c r="L166" i="1" a="1"/>
  <c r="L166" i="1"/>
  <c r="L167" i="1" a="1"/>
  <c r="L167" i="1"/>
  <c r="L168" i="1" a="1"/>
  <c r="L168" i="1"/>
  <c r="L169" i="1" a="1"/>
  <c r="L169" i="1"/>
  <c r="L171" i="1" a="1"/>
  <c r="L171" i="1"/>
  <c r="L172" i="1" a="1"/>
  <c r="L172" i="1"/>
  <c r="L173" i="1" a="1"/>
  <c r="L173" i="1"/>
  <c r="L174" i="1" a="1"/>
  <c r="L174" i="1"/>
  <c r="L175" i="1" a="1"/>
  <c r="L175" i="1"/>
  <c r="L176" i="1" a="1"/>
  <c r="L176" i="1"/>
  <c r="L177" i="1" a="1"/>
  <c r="L177" i="1"/>
  <c r="L178" i="1" a="1"/>
  <c r="L178" i="1"/>
  <c r="L179" i="1" a="1"/>
  <c r="L179" i="1"/>
  <c r="L181" i="1" a="1"/>
  <c r="L181" i="1"/>
  <c r="L182" i="1" a="1"/>
  <c r="L182" i="1"/>
  <c r="L183" i="1" a="1"/>
  <c r="L183" i="1"/>
  <c r="L184" i="1" a="1"/>
  <c r="L184" i="1"/>
  <c r="L185" i="1" a="1"/>
  <c r="L185" i="1"/>
  <c r="L186" i="1" a="1"/>
  <c r="L186" i="1"/>
  <c r="L187" i="1" a="1"/>
  <c r="L187" i="1"/>
  <c r="L188" i="1" a="1"/>
  <c r="L188" i="1"/>
  <c r="L189" i="1" a="1"/>
  <c r="L189" i="1"/>
  <c r="L191" i="1" a="1"/>
  <c r="L191" i="1"/>
  <c r="L192" i="1" a="1"/>
  <c r="L192" i="1"/>
  <c r="L193" i="1" a="1"/>
  <c r="L193" i="1"/>
  <c r="L194" i="1" a="1"/>
  <c r="L194" i="1"/>
  <c r="L195" i="1" a="1"/>
  <c r="L195" i="1"/>
  <c r="L196" i="1" a="1"/>
  <c r="L196" i="1"/>
  <c r="L197" i="1" a="1"/>
  <c r="L197" i="1"/>
  <c r="L198" i="1" a="1"/>
  <c r="L198" i="1"/>
  <c r="L199" i="1" a="1"/>
  <c r="L199" i="1"/>
  <c r="L211" i="1" a="1"/>
  <c r="L211" i="1"/>
  <c r="L212" i="1" a="1"/>
  <c r="L212" i="1"/>
  <c r="L213" i="1" a="1"/>
  <c r="L213" i="1"/>
  <c r="L214" i="1" a="1"/>
  <c r="L214" i="1"/>
  <c r="L215" i="1" a="1"/>
  <c r="L215" i="1"/>
  <c r="L216" i="1" a="1"/>
  <c r="L216" i="1"/>
  <c r="L217" i="1" a="1"/>
  <c r="L217" i="1"/>
  <c r="L218" i="1" a="1"/>
  <c r="L218" i="1"/>
  <c r="L219" i="1" a="1"/>
  <c r="L219" i="1"/>
  <c r="L221" i="1" a="1"/>
  <c r="L221" i="1"/>
  <c r="L222" i="1" a="1"/>
  <c r="L222" i="1"/>
  <c r="L223" i="1" a="1"/>
  <c r="L223" i="1"/>
  <c r="L224" i="1" a="1"/>
  <c r="L224" i="1"/>
  <c r="L225" i="1" a="1"/>
  <c r="L225" i="1"/>
  <c r="L226" i="1" a="1"/>
  <c r="L226" i="1"/>
  <c r="L227" i="1" a="1"/>
  <c r="L227" i="1"/>
  <c r="L228" i="1" a="1"/>
  <c r="L228" i="1"/>
  <c r="L229" i="1" a="1"/>
  <c r="L229" i="1"/>
  <c r="L231" i="1" a="1"/>
  <c r="L231" i="1"/>
  <c r="L232" i="1" a="1"/>
  <c r="L232" i="1"/>
  <c r="L233" i="1" a="1"/>
  <c r="L233" i="1"/>
  <c r="L234" i="1" a="1"/>
  <c r="L234" i="1"/>
  <c r="L235" i="1" a="1"/>
  <c r="L235" i="1"/>
  <c r="L236" i="1" a="1"/>
  <c r="L236" i="1"/>
  <c r="L237" i="1" a="1"/>
  <c r="L237" i="1"/>
  <c r="L238" i="1" a="1"/>
  <c r="L238" i="1"/>
  <c r="L239" i="1" a="1"/>
  <c r="L239" i="1"/>
  <c r="L241" i="1" a="1"/>
  <c r="L241" i="1"/>
  <c r="L242" i="1" a="1"/>
  <c r="L242" i="1"/>
  <c r="L243" i="1" a="1"/>
  <c r="L243" i="1"/>
  <c r="L244" i="1" a="1"/>
  <c r="L244" i="1"/>
  <c r="L245" i="1" a="1"/>
  <c r="L245" i="1"/>
  <c r="L246" i="1" a="1"/>
  <c r="L246" i="1"/>
  <c r="L247" i="1" a="1"/>
  <c r="L247" i="1"/>
  <c r="L248" i="1" a="1"/>
  <c r="L248" i="1"/>
  <c r="L249" i="1" a="1"/>
  <c r="L249" i="1"/>
  <c r="L251" i="1" a="1"/>
  <c r="L251" i="1"/>
  <c r="L252" i="1" a="1"/>
  <c r="L252" i="1"/>
  <c r="L253" i="1" a="1"/>
  <c r="L253" i="1"/>
  <c r="L254" i="1" a="1"/>
  <c r="L254" i="1"/>
  <c r="L255" i="1" a="1"/>
  <c r="L255" i="1"/>
  <c r="L256" i="1" a="1"/>
  <c r="L256" i="1"/>
  <c r="L257" i="1" a="1"/>
  <c r="L257" i="1"/>
  <c r="L258" i="1" a="1"/>
  <c r="L258" i="1"/>
  <c r="L259" i="1" a="1"/>
  <c r="L259" i="1"/>
  <c r="L261" i="1" a="1"/>
  <c r="L261" i="1"/>
  <c r="L262" i="1" a="1"/>
  <c r="L262" i="1"/>
  <c r="L263" i="1" a="1"/>
  <c r="L263" i="1"/>
  <c r="L264" i="1" a="1"/>
  <c r="L264" i="1"/>
  <c r="L265" i="1" a="1"/>
  <c r="L265" i="1"/>
  <c r="L266" i="1" a="1"/>
  <c r="L266" i="1"/>
  <c r="L267" i="1" a="1"/>
  <c r="L267" i="1"/>
  <c r="L268" i="1" a="1"/>
  <c r="L268" i="1"/>
  <c r="L269" i="1" a="1"/>
  <c r="L269" i="1"/>
  <c r="L271" i="1" a="1"/>
  <c r="L271" i="1"/>
  <c r="L272" i="1" a="1"/>
  <c r="L272" i="1"/>
  <c r="L273" i="1" a="1"/>
  <c r="L273" i="1"/>
  <c r="L274" i="1" a="1"/>
  <c r="L274" i="1"/>
  <c r="L275" i="1" a="1"/>
  <c r="L275" i="1"/>
  <c r="L276" i="1" a="1"/>
  <c r="L276" i="1"/>
  <c r="L277" i="1" a="1"/>
  <c r="L277" i="1"/>
  <c r="L278" i="1" a="1"/>
  <c r="L278" i="1"/>
  <c r="L279" i="1" a="1"/>
  <c r="L279" i="1"/>
  <c r="L281" i="1" a="1"/>
  <c r="L281" i="1"/>
  <c r="L282" i="1" a="1"/>
  <c r="L282" i="1"/>
  <c r="L283" i="1" a="1"/>
  <c r="L283" i="1"/>
  <c r="L284" i="1" a="1"/>
  <c r="L284" i="1"/>
  <c r="L285" i="1" a="1"/>
  <c r="L285" i="1"/>
  <c r="L286" i="1" a="1"/>
  <c r="L286" i="1"/>
  <c r="L287" i="1" a="1"/>
  <c r="L287" i="1"/>
  <c r="L288" i="1" a="1"/>
  <c r="L288" i="1"/>
  <c r="L289" i="1" a="1"/>
  <c r="L289" i="1"/>
  <c r="L291" i="1" a="1"/>
  <c r="L291" i="1"/>
  <c r="L292" i="1" a="1"/>
  <c r="L292" i="1"/>
  <c r="L293" i="1" a="1"/>
  <c r="L293" i="1"/>
  <c r="L294" i="1" a="1"/>
  <c r="L294" i="1"/>
  <c r="L295" i="1" a="1"/>
  <c r="L295" i="1"/>
  <c r="L296" i="1" a="1"/>
  <c r="L296" i="1"/>
  <c r="L297" i="1" a="1"/>
  <c r="L297" i="1"/>
  <c r="L298" i="1" a="1"/>
  <c r="L298" i="1"/>
  <c r="L299" i="1" a="1"/>
  <c r="L299" i="1"/>
  <c r="L311" i="1" a="1"/>
  <c r="L311" i="1"/>
  <c r="L312" i="1" a="1"/>
  <c r="L312" i="1"/>
  <c r="L313" i="1" a="1"/>
  <c r="L313" i="1"/>
  <c r="L314" i="1" a="1"/>
  <c r="L314" i="1"/>
  <c r="L315" i="1" a="1"/>
  <c r="L315" i="1"/>
  <c r="L316" i="1" a="1"/>
  <c r="L316" i="1"/>
  <c r="L317" i="1" a="1"/>
  <c r="L317" i="1"/>
  <c r="L318" i="1" a="1"/>
  <c r="L318" i="1"/>
  <c r="L319" i="1" a="1"/>
  <c r="L319" i="1"/>
  <c r="L321" i="1" a="1"/>
  <c r="L321" i="1"/>
  <c r="L322" i="1" a="1"/>
  <c r="L322" i="1"/>
  <c r="L323" i="1" a="1"/>
  <c r="L323" i="1"/>
  <c r="L324" i="1" a="1"/>
  <c r="L324" i="1"/>
  <c r="L325" i="1" a="1"/>
  <c r="L325" i="1"/>
  <c r="L326" i="1" a="1"/>
  <c r="L326" i="1"/>
  <c r="L327" i="1" a="1"/>
  <c r="L327" i="1"/>
  <c r="L328" i="1" a="1"/>
  <c r="L328" i="1"/>
  <c r="L329" i="1" a="1"/>
  <c r="L329" i="1"/>
  <c r="L331" i="1" a="1"/>
  <c r="L331" i="1"/>
  <c r="L332" i="1" a="1"/>
  <c r="L332" i="1"/>
  <c r="L333" i="1" a="1"/>
  <c r="L333" i="1"/>
  <c r="L334" i="1" a="1"/>
  <c r="L334" i="1"/>
  <c r="L335" i="1" a="1"/>
  <c r="L335" i="1"/>
  <c r="L336" i="1" a="1"/>
  <c r="L336" i="1"/>
  <c r="L337" i="1" a="1"/>
  <c r="L337" i="1"/>
  <c r="L338" i="1" a="1"/>
  <c r="L338" i="1"/>
  <c r="L339" i="1" a="1"/>
  <c r="L339" i="1"/>
  <c r="L341" i="1" a="1"/>
  <c r="L341" i="1"/>
  <c r="L342" i="1" a="1"/>
  <c r="L342" i="1"/>
  <c r="L343" i="1" a="1"/>
  <c r="L343" i="1"/>
  <c r="L344" i="1" a="1"/>
  <c r="L344" i="1"/>
  <c r="L345" i="1" a="1"/>
  <c r="L345" i="1"/>
  <c r="L346" i="1" a="1"/>
  <c r="L346" i="1"/>
  <c r="L347" i="1" a="1"/>
  <c r="L347" i="1"/>
  <c r="L348" i="1" a="1"/>
  <c r="L348" i="1"/>
  <c r="L349" i="1" a="1"/>
  <c r="L349" i="1"/>
  <c r="L351" i="1" a="1"/>
  <c r="L351" i="1"/>
  <c r="L352" i="1" a="1"/>
  <c r="L352" i="1"/>
  <c r="L353" i="1" a="1"/>
  <c r="L353" i="1"/>
  <c r="L354" i="1" a="1"/>
  <c r="L354" i="1"/>
  <c r="L355" i="1" a="1"/>
  <c r="L355" i="1"/>
  <c r="L356" i="1" a="1"/>
  <c r="L356" i="1"/>
  <c r="L357" i="1" a="1"/>
  <c r="L357" i="1"/>
  <c r="L358" i="1" a="1"/>
  <c r="L358" i="1"/>
  <c r="L359" i="1" a="1"/>
  <c r="L359" i="1"/>
  <c r="L361" i="1" a="1"/>
  <c r="L361" i="1"/>
  <c r="L362" i="1" a="1"/>
  <c r="L362" i="1"/>
  <c r="L363" i="1" a="1"/>
  <c r="L363" i="1"/>
  <c r="L364" i="1" a="1"/>
  <c r="L364" i="1"/>
  <c r="L365" i="1" a="1"/>
  <c r="L365" i="1"/>
  <c r="L366" i="1" a="1"/>
  <c r="L366" i="1"/>
  <c r="L367" i="1" a="1"/>
  <c r="L367" i="1"/>
  <c r="L368" i="1" a="1"/>
  <c r="L368" i="1"/>
  <c r="L369" i="1" a="1"/>
  <c r="L369" i="1"/>
  <c r="J3" i="1"/>
  <c r="J4" i="1"/>
  <c r="J5" i="1"/>
  <c r="J6" i="1"/>
  <c r="J7" i="1"/>
  <c r="J8" i="1"/>
  <c r="J9" i="1"/>
  <c r="J11" i="1"/>
  <c r="J12" i="1"/>
  <c r="J13" i="1"/>
  <c r="J14" i="1"/>
  <c r="J15" i="1"/>
  <c r="H15" i="1" s="1"/>
  <c r="J16" i="1"/>
  <c r="J17" i="1"/>
  <c r="J18" i="1"/>
  <c r="J19" i="1"/>
  <c r="J21" i="1"/>
  <c r="J22" i="1"/>
  <c r="J23" i="1"/>
  <c r="H23" i="1" s="1"/>
  <c r="J24" i="1"/>
  <c r="J25" i="1"/>
  <c r="J26" i="1"/>
  <c r="J27" i="1"/>
  <c r="J28" i="1"/>
  <c r="J29" i="1"/>
  <c r="J31" i="1"/>
  <c r="J32" i="1"/>
  <c r="J33" i="1"/>
  <c r="J34" i="1"/>
  <c r="J35" i="1"/>
  <c r="J36" i="1"/>
  <c r="J37" i="1"/>
  <c r="J38" i="1"/>
  <c r="J39" i="1"/>
  <c r="J41" i="1"/>
  <c r="J42" i="1"/>
  <c r="J43" i="1"/>
  <c r="J44" i="1"/>
  <c r="J45" i="1"/>
  <c r="J46" i="1"/>
  <c r="J47" i="1"/>
  <c r="J48" i="1"/>
  <c r="J49" i="1"/>
  <c r="J51" i="1"/>
  <c r="J52" i="1"/>
  <c r="J53" i="1"/>
  <c r="J54" i="1"/>
  <c r="J55" i="1"/>
  <c r="J56" i="1"/>
  <c r="J57" i="1"/>
  <c r="J58" i="1"/>
  <c r="J59" i="1"/>
  <c r="J61" i="1"/>
  <c r="J62" i="1"/>
  <c r="J63" i="1"/>
  <c r="J64" i="1"/>
  <c r="J65" i="1"/>
  <c r="J66" i="1"/>
  <c r="J67" i="1"/>
  <c r="J68" i="1"/>
  <c r="J69" i="1"/>
  <c r="J71" i="1"/>
  <c r="J72" i="1"/>
  <c r="H72" i="1" s="1"/>
  <c r="J73" i="1"/>
  <c r="J74" i="1"/>
  <c r="J75" i="1"/>
  <c r="J76" i="1"/>
  <c r="J77" i="1"/>
  <c r="J78" i="1"/>
  <c r="J79" i="1"/>
  <c r="J81" i="1"/>
  <c r="J82" i="1"/>
  <c r="J83" i="1"/>
  <c r="J84" i="1"/>
  <c r="J85" i="1"/>
  <c r="J86" i="1"/>
  <c r="J87" i="1"/>
  <c r="J88" i="1"/>
  <c r="J89" i="1"/>
  <c r="J91" i="1"/>
  <c r="J92" i="1"/>
  <c r="J93" i="1"/>
  <c r="H93" i="1" s="1"/>
  <c r="J94" i="1"/>
  <c r="J95" i="1"/>
  <c r="J96" i="1"/>
  <c r="J97" i="1"/>
  <c r="J98" i="1"/>
  <c r="J99" i="1"/>
  <c r="J111" i="1"/>
  <c r="J112" i="1"/>
  <c r="J113" i="1"/>
  <c r="J114" i="1"/>
  <c r="J115" i="1"/>
  <c r="J116" i="1"/>
  <c r="J117" i="1"/>
  <c r="J118" i="1"/>
  <c r="J119" i="1"/>
  <c r="J121" i="1"/>
  <c r="J122" i="1"/>
  <c r="J123" i="1"/>
  <c r="J124" i="1"/>
  <c r="J125" i="1"/>
  <c r="J126" i="1"/>
  <c r="J127" i="1"/>
  <c r="J128" i="1"/>
  <c r="J129" i="1"/>
  <c r="H129" i="1" s="1"/>
  <c r="J131" i="1"/>
  <c r="J132" i="1"/>
  <c r="J133" i="1"/>
  <c r="J134" i="1"/>
  <c r="J135" i="1"/>
  <c r="J136" i="1"/>
  <c r="J137" i="1"/>
  <c r="J138" i="1"/>
  <c r="J139" i="1"/>
  <c r="J141" i="1"/>
  <c r="J142" i="1"/>
  <c r="J143" i="1"/>
  <c r="J144" i="1"/>
  <c r="J145" i="1"/>
  <c r="J146" i="1"/>
  <c r="J147" i="1"/>
  <c r="J148" i="1"/>
  <c r="J149" i="1"/>
  <c r="J151" i="1"/>
  <c r="J152" i="1"/>
  <c r="J153" i="1"/>
  <c r="J154" i="1"/>
  <c r="J155" i="1"/>
  <c r="J156" i="1"/>
  <c r="H156" i="1" s="1"/>
  <c r="J157" i="1"/>
  <c r="J158" i="1"/>
  <c r="J159" i="1"/>
  <c r="J161" i="1"/>
  <c r="J162" i="1"/>
  <c r="J163" i="1"/>
  <c r="J164" i="1"/>
  <c r="J165" i="1"/>
  <c r="J166" i="1"/>
  <c r="J167" i="1"/>
  <c r="J168" i="1"/>
  <c r="J169" i="1"/>
  <c r="J171" i="1"/>
  <c r="J172" i="1"/>
  <c r="J173" i="1"/>
  <c r="J174" i="1"/>
  <c r="J175" i="1"/>
  <c r="J176" i="1"/>
  <c r="H176" i="1" s="1"/>
  <c r="J177" i="1"/>
  <c r="J178" i="1"/>
  <c r="J179" i="1"/>
  <c r="J181" i="1"/>
  <c r="H181" i="1" s="1"/>
  <c r="J182" i="1"/>
  <c r="J183" i="1"/>
  <c r="J184" i="1"/>
  <c r="J185" i="1"/>
  <c r="J186" i="1"/>
  <c r="J187" i="1"/>
  <c r="J188" i="1"/>
  <c r="J189" i="1"/>
  <c r="J191" i="1"/>
  <c r="J192" i="1"/>
  <c r="J193" i="1"/>
  <c r="J194" i="1"/>
  <c r="J195" i="1"/>
  <c r="J196" i="1"/>
  <c r="J197" i="1"/>
  <c r="J198" i="1"/>
  <c r="J199" i="1"/>
  <c r="J211" i="1"/>
  <c r="J212" i="1"/>
  <c r="J213" i="1"/>
  <c r="J214" i="1"/>
  <c r="J215" i="1"/>
  <c r="J216" i="1"/>
  <c r="J217" i="1"/>
  <c r="J218" i="1"/>
  <c r="J219" i="1"/>
  <c r="J221" i="1"/>
  <c r="J222" i="1"/>
  <c r="J223" i="1"/>
  <c r="J224" i="1"/>
  <c r="J225" i="1"/>
  <c r="J226" i="1"/>
  <c r="J227" i="1"/>
  <c r="J228" i="1"/>
  <c r="J229" i="1"/>
  <c r="J231" i="1"/>
  <c r="J232" i="1"/>
  <c r="J233" i="1"/>
  <c r="J234" i="1"/>
  <c r="J235" i="1"/>
  <c r="J236" i="1"/>
  <c r="J237" i="1"/>
  <c r="J238" i="1"/>
  <c r="J239" i="1"/>
  <c r="J241" i="1"/>
  <c r="J242" i="1"/>
  <c r="J243" i="1"/>
  <c r="J244" i="1"/>
  <c r="J245" i="1"/>
  <c r="J246" i="1"/>
  <c r="J247" i="1"/>
  <c r="H247" i="1" s="1"/>
  <c r="J248" i="1"/>
  <c r="J249" i="1"/>
  <c r="J251" i="1"/>
  <c r="J252" i="1"/>
  <c r="J253" i="1"/>
  <c r="J254" i="1"/>
  <c r="J255" i="1"/>
  <c r="H255" i="1" s="1"/>
  <c r="J256" i="1"/>
  <c r="J257" i="1"/>
  <c r="J258" i="1"/>
  <c r="J259" i="1"/>
  <c r="J261" i="1"/>
  <c r="J262" i="1"/>
  <c r="J263" i="1"/>
  <c r="J264" i="1"/>
  <c r="J265" i="1"/>
  <c r="J266" i="1"/>
  <c r="J267" i="1"/>
  <c r="J268" i="1"/>
  <c r="J269" i="1"/>
  <c r="J271" i="1"/>
  <c r="J272" i="1"/>
  <c r="J273" i="1"/>
  <c r="J274" i="1"/>
  <c r="J275" i="1"/>
  <c r="H275" i="1" s="1"/>
  <c r="J276" i="1"/>
  <c r="J277" i="1"/>
  <c r="J278" i="1"/>
  <c r="J279" i="1"/>
  <c r="J281" i="1"/>
  <c r="J282" i="1"/>
  <c r="J283" i="1"/>
  <c r="J284" i="1"/>
  <c r="J285" i="1"/>
  <c r="J286" i="1"/>
  <c r="J287" i="1"/>
  <c r="J288" i="1"/>
  <c r="J289" i="1"/>
  <c r="J291" i="1"/>
  <c r="J292" i="1"/>
  <c r="J293" i="1"/>
  <c r="J294" i="1"/>
  <c r="J295" i="1"/>
  <c r="J296" i="1"/>
  <c r="J297" i="1"/>
  <c r="J298" i="1"/>
  <c r="J299" i="1"/>
  <c r="J311" i="1"/>
  <c r="J312" i="1"/>
  <c r="J313" i="1"/>
  <c r="J314" i="1"/>
  <c r="J315" i="1"/>
  <c r="J316" i="1"/>
  <c r="J317" i="1"/>
  <c r="J318" i="1"/>
  <c r="J319" i="1"/>
  <c r="J321" i="1"/>
  <c r="J322" i="1"/>
  <c r="J323" i="1"/>
  <c r="J324" i="1"/>
  <c r="J325" i="1"/>
  <c r="J326" i="1"/>
  <c r="J327" i="1"/>
  <c r="J328" i="1"/>
  <c r="J329" i="1"/>
  <c r="J331" i="1"/>
  <c r="J332" i="1"/>
  <c r="J333" i="1"/>
  <c r="J334" i="1"/>
  <c r="J335" i="1"/>
  <c r="J336" i="1"/>
  <c r="H336" i="1" s="1"/>
  <c r="J337" i="1"/>
  <c r="J338" i="1"/>
  <c r="J339" i="1"/>
  <c r="J341" i="1"/>
  <c r="J342" i="1"/>
  <c r="H342" i="1" s="1"/>
  <c r="J343" i="1"/>
  <c r="H343" i="1" s="1"/>
  <c r="J344" i="1"/>
  <c r="J345" i="1"/>
  <c r="J346" i="1"/>
  <c r="J347" i="1"/>
  <c r="J348" i="1"/>
  <c r="H348" i="1" s="1"/>
  <c r="J349" i="1"/>
  <c r="J351" i="1"/>
  <c r="J352" i="1"/>
  <c r="J353" i="1"/>
  <c r="J354" i="1"/>
  <c r="J355" i="1"/>
  <c r="J356" i="1"/>
  <c r="J357" i="1"/>
  <c r="J358" i="1"/>
  <c r="J359" i="1"/>
  <c r="J361" i="1"/>
  <c r="J362" i="1"/>
  <c r="J363" i="1"/>
  <c r="J364" i="1"/>
  <c r="J365" i="1"/>
  <c r="J366" i="1"/>
  <c r="J367" i="1"/>
  <c r="J368" i="1"/>
  <c r="J369" i="1"/>
  <c r="D5" i="1"/>
  <c r="D6" i="1"/>
  <c r="D7" i="1"/>
  <c r="D8" i="1"/>
  <c r="D9" i="1"/>
  <c r="D11" i="1"/>
  <c r="D12" i="1"/>
  <c r="D13" i="1"/>
  <c r="D14" i="1"/>
  <c r="D15" i="1"/>
  <c r="D16" i="1"/>
  <c r="D17" i="1"/>
  <c r="D18" i="1"/>
  <c r="D19" i="1"/>
  <c r="D21" i="1"/>
  <c r="D22" i="1"/>
  <c r="D23" i="1"/>
  <c r="D24" i="1"/>
  <c r="D25" i="1"/>
  <c r="D26" i="1"/>
  <c r="D27" i="1"/>
  <c r="D28" i="1"/>
  <c r="D29" i="1"/>
  <c r="D31" i="1"/>
  <c r="D32" i="1"/>
  <c r="D33" i="1"/>
  <c r="D34" i="1"/>
  <c r="D35" i="1"/>
  <c r="D36" i="1"/>
  <c r="D37" i="1"/>
  <c r="D38" i="1"/>
  <c r="D39" i="1"/>
  <c r="D41" i="1"/>
  <c r="D42" i="1"/>
  <c r="D43" i="1"/>
  <c r="D44" i="1"/>
  <c r="D45" i="1"/>
  <c r="D46" i="1"/>
  <c r="D47" i="1"/>
  <c r="D48" i="1"/>
  <c r="D49" i="1"/>
  <c r="D51" i="1"/>
  <c r="D52" i="1"/>
  <c r="D53" i="1"/>
  <c r="D54" i="1"/>
  <c r="D55" i="1"/>
  <c r="D56" i="1"/>
  <c r="D57" i="1"/>
  <c r="D58" i="1"/>
  <c r="D59" i="1"/>
  <c r="D61" i="1"/>
  <c r="D62" i="1"/>
  <c r="D63" i="1"/>
  <c r="D64" i="1"/>
  <c r="D65" i="1"/>
  <c r="D66" i="1"/>
  <c r="D67" i="1"/>
  <c r="D68" i="1"/>
  <c r="D69" i="1"/>
  <c r="D71" i="1"/>
  <c r="D72" i="1"/>
  <c r="D73" i="1"/>
  <c r="D74" i="1"/>
  <c r="D75" i="1"/>
  <c r="D76" i="1"/>
  <c r="D77" i="1"/>
  <c r="D78" i="1"/>
  <c r="D79" i="1"/>
  <c r="D81" i="1"/>
  <c r="D82" i="1"/>
  <c r="D83" i="1"/>
  <c r="D84" i="1"/>
  <c r="D85" i="1"/>
  <c r="D86" i="1"/>
  <c r="D87" i="1"/>
  <c r="D88" i="1"/>
  <c r="D89" i="1"/>
  <c r="D91" i="1"/>
  <c r="D92" i="1"/>
  <c r="D93" i="1"/>
  <c r="D94" i="1"/>
  <c r="D95" i="1"/>
  <c r="D96" i="1"/>
  <c r="D97" i="1"/>
  <c r="D98" i="1"/>
  <c r="D99" i="1"/>
  <c r="D111" i="1"/>
  <c r="D112" i="1"/>
  <c r="D113" i="1"/>
  <c r="D114" i="1"/>
  <c r="D115" i="1"/>
  <c r="D116" i="1"/>
  <c r="D117" i="1"/>
  <c r="D118" i="1"/>
  <c r="D119" i="1"/>
  <c r="D121" i="1"/>
  <c r="D122" i="1"/>
  <c r="D123" i="1"/>
  <c r="D124" i="1"/>
  <c r="D125" i="1"/>
  <c r="D126" i="1"/>
  <c r="D127" i="1"/>
  <c r="D128" i="1"/>
  <c r="D129" i="1"/>
  <c r="D131" i="1"/>
  <c r="D132" i="1"/>
  <c r="D133" i="1"/>
  <c r="D134" i="1"/>
  <c r="D135" i="1"/>
  <c r="D136" i="1"/>
  <c r="D137" i="1"/>
  <c r="D138" i="1"/>
  <c r="D139" i="1"/>
  <c r="D141" i="1"/>
  <c r="D142" i="1"/>
  <c r="D143" i="1"/>
  <c r="D144" i="1"/>
  <c r="D145" i="1"/>
  <c r="D146" i="1"/>
  <c r="D147" i="1"/>
  <c r="D148" i="1"/>
  <c r="D149" i="1"/>
  <c r="D151" i="1"/>
  <c r="D152" i="1"/>
  <c r="D153" i="1"/>
  <c r="D154" i="1"/>
  <c r="D155" i="1"/>
  <c r="D156" i="1"/>
  <c r="D157" i="1"/>
  <c r="D158" i="1"/>
  <c r="D159" i="1"/>
  <c r="D161" i="1"/>
  <c r="D162" i="1"/>
  <c r="D163" i="1"/>
  <c r="D164" i="1"/>
  <c r="D165" i="1"/>
  <c r="D166" i="1"/>
  <c r="D167" i="1"/>
  <c r="D168" i="1"/>
  <c r="D169" i="1"/>
  <c r="D171" i="1"/>
  <c r="D172" i="1"/>
  <c r="D173" i="1"/>
  <c r="D174" i="1"/>
  <c r="D175" i="1"/>
  <c r="D176" i="1"/>
  <c r="D177" i="1"/>
  <c r="D178" i="1"/>
  <c r="D179" i="1"/>
  <c r="D181" i="1"/>
  <c r="D182" i="1"/>
  <c r="D183" i="1"/>
  <c r="D184" i="1"/>
  <c r="D185" i="1"/>
  <c r="D186" i="1"/>
  <c r="D187" i="1"/>
  <c r="D188" i="1"/>
  <c r="D189" i="1"/>
  <c r="D191" i="1"/>
  <c r="D192" i="1"/>
  <c r="D193" i="1"/>
  <c r="D194" i="1"/>
  <c r="D195" i="1"/>
  <c r="D196" i="1"/>
  <c r="D197" i="1"/>
  <c r="D198" i="1"/>
  <c r="D199" i="1"/>
  <c r="D211" i="1"/>
  <c r="D212" i="1"/>
  <c r="D213" i="1"/>
  <c r="D214" i="1"/>
  <c r="D215" i="1"/>
  <c r="D216" i="1"/>
  <c r="D217" i="1"/>
  <c r="D218" i="1"/>
  <c r="D219" i="1"/>
  <c r="D221" i="1"/>
  <c r="D222" i="1"/>
  <c r="D223" i="1"/>
  <c r="D224" i="1"/>
  <c r="D225" i="1"/>
  <c r="D226" i="1"/>
  <c r="D227" i="1"/>
  <c r="D228" i="1"/>
  <c r="D229" i="1"/>
  <c r="D231" i="1"/>
  <c r="D232" i="1"/>
  <c r="D233" i="1"/>
  <c r="D234" i="1"/>
  <c r="D235" i="1"/>
  <c r="D236" i="1"/>
  <c r="D237" i="1"/>
  <c r="D238" i="1"/>
  <c r="D239" i="1"/>
  <c r="D241" i="1"/>
  <c r="D242" i="1"/>
  <c r="D243" i="1"/>
  <c r="D244" i="1"/>
  <c r="D245" i="1"/>
  <c r="D246" i="1"/>
  <c r="D247" i="1"/>
  <c r="D248" i="1"/>
  <c r="D249" i="1"/>
  <c r="D251" i="1"/>
  <c r="D252" i="1"/>
  <c r="D253" i="1"/>
  <c r="D254" i="1"/>
  <c r="D255" i="1"/>
  <c r="D256" i="1"/>
  <c r="D257" i="1"/>
  <c r="D258" i="1"/>
  <c r="D259" i="1"/>
  <c r="D261" i="1"/>
  <c r="D262" i="1"/>
  <c r="D263" i="1"/>
  <c r="D264" i="1"/>
  <c r="D265" i="1"/>
  <c r="D266" i="1"/>
  <c r="D267" i="1"/>
  <c r="D268" i="1"/>
  <c r="D269" i="1"/>
  <c r="D271" i="1"/>
  <c r="D272" i="1"/>
  <c r="D273" i="1"/>
  <c r="D274" i="1"/>
  <c r="D275" i="1"/>
  <c r="D276" i="1"/>
  <c r="D277" i="1"/>
  <c r="D278" i="1"/>
  <c r="D279" i="1"/>
  <c r="D281" i="1"/>
  <c r="D282" i="1"/>
  <c r="D283" i="1"/>
  <c r="D284" i="1"/>
  <c r="D285" i="1"/>
  <c r="D286" i="1"/>
  <c r="D287" i="1"/>
  <c r="D288" i="1"/>
  <c r="D289" i="1"/>
  <c r="D291" i="1"/>
  <c r="D292" i="1"/>
  <c r="D293" i="1"/>
  <c r="D294" i="1"/>
  <c r="D295" i="1"/>
  <c r="D296" i="1"/>
  <c r="D297" i="1"/>
  <c r="D298" i="1"/>
  <c r="D299" i="1"/>
  <c r="D311" i="1"/>
  <c r="D312" i="1"/>
  <c r="D313" i="1"/>
  <c r="D314" i="1"/>
  <c r="D315" i="1"/>
  <c r="D316" i="1"/>
  <c r="D317" i="1"/>
  <c r="D318" i="1"/>
  <c r="D319" i="1"/>
  <c r="D321" i="1"/>
  <c r="D322" i="1"/>
  <c r="D323" i="1"/>
  <c r="D324" i="1"/>
  <c r="D325" i="1"/>
  <c r="D326" i="1"/>
  <c r="D327" i="1"/>
  <c r="D328" i="1"/>
  <c r="D329" i="1"/>
  <c r="D331" i="1"/>
  <c r="D332" i="1"/>
  <c r="D333" i="1"/>
  <c r="D334" i="1"/>
  <c r="D335" i="1"/>
  <c r="D336" i="1"/>
  <c r="D337" i="1"/>
  <c r="D338" i="1"/>
  <c r="D339" i="1"/>
  <c r="D341" i="1"/>
  <c r="D342" i="1"/>
  <c r="D343" i="1"/>
  <c r="D344" i="1"/>
  <c r="D345" i="1"/>
  <c r="D346" i="1"/>
  <c r="D347" i="1"/>
  <c r="D348" i="1"/>
  <c r="D349" i="1"/>
  <c r="D351" i="1"/>
  <c r="D352" i="1"/>
  <c r="D353" i="1"/>
  <c r="D354" i="1"/>
  <c r="D355" i="1"/>
  <c r="D356" i="1"/>
  <c r="D357" i="1"/>
  <c r="D358" i="1"/>
  <c r="D359" i="1"/>
  <c r="D361" i="1"/>
  <c r="D362" i="1"/>
  <c r="D363" i="1"/>
  <c r="D364" i="1"/>
  <c r="D365" i="1"/>
  <c r="D366" i="1"/>
  <c r="D367" i="1"/>
  <c r="D368" i="1"/>
  <c r="D369" i="1"/>
  <c r="Y2" i="1" l="1"/>
  <c r="Y369" i="1"/>
  <c r="Y368" i="1"/>
  <c r="Y367" i="1"/>
  <c r="Y366" i="1"/>
  <c r="Y365" i="1"/>
  <c r="Y364" i="1"/>
  <c r="Y363" i="1"/>
  <c r="Y362" i="1"/>
  <c r="Y361" i="1"/>
  <c r="Y360" i="1"/>
  <c r="Y359" i="1"/>
  <c r="AA359" i="1" s="1"/>
  <c r="Y358" i="1"/>
  <c r="Y357" i="1"/>
  <c r="Y356" i="1"/>
  <c r="Y355" i="1"/>
  <c r="Y354" i="1"/>
  <c r="Y353" i="1"/>
  <c r="Y352" i="1"/>
  <c r="Y351" i="1"/>
  <c r="Y350" i="1"/>
  <c r="Y349" i="1"/>
  <c r="Y348" i="1"/>
  <c r="AA348" i="1" s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AA308" i="1" s="1"/>
  <c r="Y307" i="1"/>
  <c r="Y306" i="1"/>
  <c r="Y305" i="1"/>
  <c r="Y304" i="1"/>
  <c r="Y303" i="1"/>
  <c r="Y302" i="1"/>
  <c r="Y301" i="1"/>
  <c r="AA301" i="1" s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AA288" i="1" s="1"/>
  <c r="Y287" i="1"/>
  <c r="Y286" i="1"/>
  <c r="Y285" i="1"/>
  <c r="Y284" i="1"/>
  <c r="Y283" i="1"/>
  <c r="Y282" i="1"/>
  <c r="AA282" i="1" s="1"/>
  <c r="Y281" i="1"/>
  <c r="Y280" i="1"/>
  <c r="Y279" i="1"/>
  <c r="Y278" i="1"/>
  <c r="Y277" i="1"/>
  <c r="Y276" i="1"/>
  <c r="AA276" i="1" s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AA249" i="1" s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AA225" i="1" s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AA177" i="1" s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AA160" i="1" s="1"/>
  <c r="Y159" i="1"/>
  <c r="Y158" i="1"/>
  <c r="Y157" i="1"/>
  <c r="AA157" i="1" s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AA124" i="1" s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AA110" i="1" s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AA44" i="1" s="1"/>
  <c r="Y43" i="1"/>
  <c r="Y42" i="1"/>
  <c r="Y41" i="1"/>
  <c r="Y40" i="1"/>
  <c r="Y39" i="1"/>
  <c r="AA39" i="1" s="1"/>
  <c r="Y38" i="1"/>
  <c r="Y37" i="1"/>
  <c r="Y36" i="1"/>
  <c r="Y35" i="1"/>
  <c r="Y34" i="1"/>
  <c r="Y33" i="1"/>
  <c r="Y32" i="1"/>
  <c r="Y31" i="1"/>
  <c r="AA31" i="1" s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AA13" i="1" s="1"/>
  <c r="Y12" i="1"/>
  <c r="Y11" i="1"/>
  <c r="Y10" i="1"/>
  <c r="Y9" i="1"/>
  <c r="Y8" i="1"/>
  <c r="Y7" i="1"/>
  <c r="Y6" i="1"/>
  <c r="Y5" i="1"/>
  <c r="Y4" i="1"/>
  <c r="Y3" i="1"/>
  <c r="AA3" i="1" s="1"/>
  <c r="AA2" i="1"/>
  <c r="AA4" i="1"/>
  <c r="AA5" i="1"/>
  <c r="AA6" i="1"/>
  <c r="AA7" i="1"/>
  <c r="AA8" i="1"/>
  <c r="AA9" i="1"/>
  <c r="AA10" i="1"/>
  <c r="AA11" i="1"/>
  <c r="AA12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2" i="1"/>
  <c r="AA33" i="1"/>
  <c r="AA34" i="1"/>
  <c r="AA35" i="1"/>
  <c r="AA36" i="1"/>
  <c r="AA37" i="1"/>
  <c r="AA38" i="1"/>
  <c r="AA40" i="1"/>
  <c r="AA41" i="1"/>
  <c r="AA42" i="1"/>
  <c r="AA43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8" i="1"/>
  <c r="AA159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7" i="1"/>
  <c r="AA278" i="1"/>
  <c r="AA279" i="1"/>
  <c r="AA280" i="1"/>
  <c r="AA281" i="1"/>
  <c r="AA283" i="1"/>
  <c r="AA284" i="1"/>
  <c r="AA285" i="1"/>
  <c r="AA286" i="1"/>
  <c r="AA287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2" i="1"/>
  <c r="AA303" i="1"/>
  <c r="AA304" i="1"/>
  <c r="AA305" i="1"/>
  <c r="AA306" i="1"/>
  <c r="AA307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9" i="1"/>
  <c r="AA350" i="1"/>
  <c r="AA351" i="1"/>
  <c r="AA352" i="1"/>
  <c r="AA353" i="1"/>
  <c r="AA354" i="1"/>
  <c r="AA355" i="1"/>
  <c r="AA356" i="1"/>
  <c r="AA357" i="1"/>
  <c r="AA358" i="1"/>
  <c r="AA360" i="1"/>
  <c r="AA361" i="1"/>
  <c r="AA362" i="1"/>
  <c r="AA363" i="1"/>
  <c r="AA364" i="1"/>
  <c r="AA365" i="1"/>
  <c r="AA366" i="1"/>
  <c r="AA367" i="1"/>
  <c r="AA368" i="1"/>
  <c r="AA36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<sst xmlns="http://schemas.openxmlformats.org/spreadsheetml/2006/main" count="2084" uniqueCount="696">
  <si>
    <t>status</t>
  </si>
  <si>
    <t>Status</t>
  </si>
  <si>
    <t>nome</t>
  </si>
  <si>
    <t>Nome</t>
  </si>
  <si>
    <t>cpf</t>
  </si>
  <si>
    <t>CPF</t>
  </si>
  <si>
    <t>idade</t>
  </si>
  <si>
    <t>Idade</t>
  </si>
  <si>
    <t>data_nascimento</t>
  </si>
  <si>
    <t>cidade</t>
  </si>
  <si>
    <t>Cidade</t>
  </si>
  <si>
    <t>Regiao</t>
  </si>
  <si>
    <t>renda_mensal</t>
  </si>
  <si>
    <t>Renda_Mensal</t>
  </si>
  <si>
    <t>credito_tomado</t>
  </si>
  <si>
    <t>flag_inadimplente</t>
  </si>
  <si>
    <t>Flag_Inadimplente</t>
  </si>
  <si>
    <t>qtde_batalhas</t>
  </si>
  <si>
    <t>Qtde_Batalhas</t>
  </si>
  <si>
    <t>nivel_risco</t>
  </si>
  <si>
    <t>valor_solicitado</t>
  </si>
  <si>
    <t>Analise_Risco</t>
  </si>
  <si>
    <t>Analise_Credito</t>
  </si>
  <si>
    <t>Liberacao_de_Credito</t>
  </si>
  <si>
    <t>Ativo</t>
  </si>
  <si>
    <t>Ellaria Baelish</t>
  </si>
  <si>
    <t>000.000.336-00</t>
  </si>
  <si>
    <t>Ninho da Águia</t>
  </si>
  <si>
    <t>Vale</t>
  </si>
  <si>
    <t>Sim</t>
  </si>
  <si>
    <t>Inativo</t>
  </si>
  <si>
    <t>Stannis Lannister</t>
  </si>
  <si>
    <t>Ponta Tempestade</t>
  </si>
  <si>
    <t>Terras da Tempestade</t>
  </si>
  <si>
    <t>Asha Hornwood</t>
  </si>
  <si>
    <t>000.000.363-00</t>
  </si>
  <si>
    <t>Pedra do Dragão</t>
  </si>
  <si>
    <t>Terras da Coroa</t>
  </si>
  <si>
    <t>N/A</t>
  </si>
  <si>
    <t>não</t>
  </si>
  <si>
    <t>Jorah Dondarrion</t>
  </si>
  <si>
    <t>000.000.210-00</t>
  </si>
  <si>
    <t>Pyke | Ilhas de Ferro</t>
  </si>
  <si>
    <t>Jojen Florent</t>
  </si>
  <si>
    <t>000.000.321-00</t>
  </si>
  <si>
    <t>vale</t>
  </si>
  <si>
    <t>Não</t>
  </si>
  <si>
    <t>Olenna Baelish</t>
  </si>
  <si>
    <t>000.000.191-00</t>
  </si>
  <si>
    <t>Lannisporto</t>
  </si>
  <si>
    <t>ATIVO</t>
  </si>
  <si>
    <t>Brienne Manderly</t>
  </si>
  <si>
    <t>000.000.076-00</t>
  </si>
  <si>
    <t>Oeste</t>
  </si>
  <si>
    <t>yara targaryen</t>
  </si>
  <si>
    <t>000.000.059-00</t>
  </si>
  <si>
    <t>Pyke</t>
  </si>
  <si>
    <t>Ilhas De Ferro</t>
  </si>
  <si>
    <t>Margaery Tarly</t>
  </si>
  <si>
    <t>000.000.274-00</t>
  </si>
  <si>
    <t>ilhas de ferro</t>
  </si>
  <si>
    <t>Viserys Seaworth</t>
  </si>
  <si>
    <t>000.000.024-00</t>
  </si>
  <si>
    <t>Meereen</t>
  </si>
  <si>
    <t>Essos</t>
  </si>
  <si>
    <t>Tormund  Cerwyn</t>
  </si>
  <si>
    <t>000.000.039-00</t>
  </si>
  <si>
    <t>catelyn westerling</t>
  </si>
  <si>
    <t>Braavos</t>
  </si>
  <si>
    <t>Robb Baratheon</t>
  </si>
  <si>
    <t>000.000.365-00</t>
  </si>
  <si>
    <t>Asha Tallhart</t>
  </si>
  <si>
    <t>Ilhas de Ferro</t>
  </si>
  <si>
    <t>Missandei Tarly</t>
  </si>
  <si>
    <t>TERRAS DA TEMPESTADE</t>
  </si>
  <si>
    <t>Jeor Mallister</t>
  </si>
  <si>
    <t>000.000.162-00</t>
  </si>
  <si>
    <t>Correrrio</t>
  </si>
  <si>
    <t>Terras Fluviais</t>
  </si>
  <si>
    <t>Eddard Crakehall</t>
  </si>
  <si>
    <t>Castelo Negro</t>
  </si>
  <si>
    <t>Norte</t>
  </si>
  <si>
    <t>Podrick Swyft</t>
  </si>
  <si>
    <t>000.000.090-00</t>
  </si>
  <si>
    <t>TERRAS FLUVIAIS</t>
  </si>
  <si>
    <t>Podrick Dayne</t>
  </si>
  <si>
    <t>Vilavelha</t>
  </si>
  <si>
    <t>Campina</t>
  </si>
  <si>
    <t>Ellaria Seaworth</t>
  </si>
  <si>
    <t>000.000.125-00</t>
  </si>
  <si>
    <t>Melisandre Clegane</t>
  </si>
  <si>
    <t>000.000.231-00</t>
  </si>
  <si>
    <t>Ilha dos Ursos</t>
  </si>
  <si>
    <t>NORTE</t>
  </si>
  <si>
    <t>Robert Karstark</t>
  </si>
  <si>
    <t>000.000.184-00</t>
  </si>
  <si>
    <t>rhaegar stark</t>
  </si>
  <si>
    <t>000.000.119-00</t>
  </si>
  <si>
    <t>Loras Greyjoy</t>
  </si>
  <si>
    <t>000.000.362-00</t>
  </si>
  <si>
    <t>Fosso Cailin</t>
  </si>
  <si>
    <t>Jorah Hightower</t>
  </si>
  <si>
    <t>000.000.346-00</t>
  </si>
  <si>
    <t>TERRAS DA COROA</t>
  </si>
  <si>
    <t>Loras Clegane</t>
  </si>
  <si>
    <t>000.000.287-00</t>
  </si>
  <si>
    <t>Harrenhal</t>
  </si>
  <si>
    <t>Winterfell</t>
  </si>
  <si>
    <t>samwell yronwood</t>
  </si>
  <si>
    <t>000.000.124-00</t>
  </si>
  <si>
    <t>Jardim de Cima</t>
  </si>
  <si>
    <t>Ativoo</t>
  </si>
  <si>
    <t>Catelyn Yronwood</t>
  </si>
  <si>
    <t>000.000.226-00</t>
  </si>
  <si>
    <t>norte</t>
  </si>
  <si>
    <t>Brienne Reed</t>
  </si>
  <si>
    <t>000.000.306-00</t>
  </si>
  <si>
    <t>Rhaegar Umber</t>
  </si>
  <si>
    <t>000.000.247-00</t>
  </si>
  <si>
    <t>sim</t>
  </si>
  <si>
    <t>Roose Manderly</t>
  </si>
  <si>
    <t>Dorne</t>
  </si>
  <si>
    <t>sem renda</t>
  </si>
  <si>
    <t>Jeor Florent</t>
  </si>
  <si>
    <t>000.000.249-00</t>
  </si>
  <si>
    <t>terras da tempestade</t>
  </si>
  <si>
    <t>Bran Yronwood</t>
  </si>
  <si>
    <t>000.000.057-00</t>
  </si>
  <si>
    <t>Nao</t>
  </si>
  <si>
    <t>BRONN ARRYN</t>
  </si>
  <si>
    <t>000.000.016-00</t>
  </si>
  <si>
    <t>oeste</t>
  </si>
  <si>
    <t>Shae Clegane</t>
  </si>
  <si>
    <t>000.000.205-00</t>
  </si>
  <si>
    <t>Ramsay Hornwood</t>
  </si>
  <si>
    <t>000.000.005-00</t>
  </si>
  <si>
    <t>MEERA PAYNE</t>
  </si>
  <si>
    <t>000.000.131-00</t>
  </si>
  <si>
    <t>DORNE</t>
  </si>
  <si>
    <t>MELISANDRE BARATHEON</t>
  </si>
  <si>
    <t>000.000.364-00</t>
  </si>
  <si>
    <t>Podrick Targaryen</t>
  </si>
  <si>
    <t>000.000.050-00</t>
  </si>
  <si>
    <t>Margaery Manderly</t>
  </si>
  <si>
    <t>000.000.222-00</t>
  </si>
  <si>
    <t>Daenerys Seaworth</t>
  </si>
  <si>
    <t>000.000.341-00</t>
  </si>
  <si>
    <t>CAMPINA</t>
  </si>
  <si>
    <t>000.000.140-00</t>
  </si>
  <si>
    <t>Fosso Cailin | Norte</t>
  </si>
  <si>
    <t>Jorah Redwyne</t>
  </si>
  <si>
    <t>Monte Chifre</t>
  </si>
  <si>
    <t>campina</t>
  </si>
  <si>
    <t>Margaery  Hornwood</t>
  </si>
  <si>
    <t>Arya Redwyne</t>
  </si>
  <si>
    <t>000.000.333-00</t>
  </si>
  <si>
    <t>VARYS BRACKEN</t>
  </si>
  <si>
    <t>000.000.215-00</t>
  </si>
  <si>
    <t>Porto Real</t>
  </si>
  <si>
    <t>Brienne Royce</t>
  </si>
  <si>
    <t>Rickon Redwyne</t>
  </si>
  <si>
    <t>Tormund Karstark</t>
  </si>
  <si>
    <t>000.000.284-00</t>
  </si>
  <si>
    <t>Bran Dayne</t>
  </si>
  <si>
    <t>000.000.288-00</t>
  </si>
  <si>
    <t>000.000.294-00</t>
  </si>
  <si>
    <t>Aegon Frey</t>
  </si>
  <si>
    <t>000.000.338-00</t>
  </si>
  <si>
    <t>Daenerys Snow</t>
  </si>
  <si>
    <t>Dorne | Dorne</t>
  </si>
  <si>
    <t>Asha Baratheon</t>
  </si>
  <si>
    <t>000.000.195-00</t>
  </si>
  <si>
    <t>Rickon Crakehall</t>
  </si>
  <si>
    <t>000.000.066-00</t>
  </si>
  <si>
    <t>Atalaia da Água Cinzenta</t>
  </si>
  <si>
    <t>gargalo</t>
  </si>
  <si>
    <t>NÃO</t>
  </si>
  <si>
    <t>Eddard Mallister</t>
  </si>
  <si>
    <t>000.000.309-00</t>
  </si>
  <si>
    <t>GARGALO</t>
  </si>
  <si>
    <t>Daario Clegane</t>
  </si>
  <si>
    <t>000.000.270-00</t>
  </si>
  <si>
    <t>Ellaria Mallister</t>
  </si>
  <si>
    <t>000.000.194-00</t>
  </si>
  <si>
    <t>Stannis  Cerwyn</t>
  </si>
  <si>
    <t>ELLARIA TARLY</t>
  </si>
  <si>
    <t>000.000.026-00</t>
  </si>
  <si>
    <t>ESSOS</t>
  </si>
  <si>
    <t>ativo</t>
  </si>
  <si>
    <t>Daario Tyrell</t>
  </si>
  <si>
    <t>000.000.251-00</t>
  </si>
  <si>
    <t>Daario Marbrand</t>
  </si>
  <si>
    <t>000.000.014-00</t>
  </si>
  <si>
    <t>Thoros Tarth</t>
  </si>
  <si>
    <t>ILHAS DE FERRO</t>
  </si>
  <si>
    <t>Arya Marbrand</t>
  </si>
  <si>
    <t>000.000.133-00</t>
  </si>
  <si>
    <t>Davos Tyrell</t>
  </si>
  <si>
    <t>Lyanna Florent</t>
  </si>
  <si>
    <t>Varys Bolton</t>
  </si>
  <si>
    <t>Shae Seaworth</t>
  </si>
  <si>
    <t>000.000.030-00</t>
  </si>
  <si>
    <t>essos</t>
  </si>
  <si>
    <t>Jojen Reed</t>
  </si>
  <si>
    <t>000.000.136-00</t>
  </si>
  <si>
    <t>Podrick Blackwood</t>
  </si>
  <si>
    <t>000.000.135-00</t>
  </si>
  <si>
    <t>Renly Mallister</t>
  </si>
  <si>
    <t>000.000.372-00</t>
  </si>
  <si>
    <t>Cersei Clegane</t>
  </si>
  <si>
    <t>000.000.323-00</t>
  </si>
  <si>
    <t>BERIC CRAKEHALL</t>
  </si>
  <si>
    <t>000.000.067-00</t>
  </si>
  <si>
    <t>Ellaria Bracken</t>
  </si>
  <si>
    <t>000.000.138-00</t>
  </si>
  <si>
    <t>Ellaria  Reed</t>
  </si>
  <si>
    <t>000.000.311-00</t>
  </si>
  <si>
    <t>Daenerys Tallhart</t>
  </si>
  <si>
    <t>000.000.092-00</t>
  </si>
  <si>
    <t>Lyanna Marbrand</t>
  </si>
  <si>
    <t>000.000.283-00</t>
  </si>
  <si>
    <t>Ramsay Dondarrion</t>
  </si>
  <si>
    <t>000.000.054-00</t>
  </si>
  <si>
    <t>dorne</t>
  </si>
  <si>
    <t>Thoros  Baelish</t>
  </si>
  <si>
    <t>000.000.011-00</t>
  </si>
  <si>
    <t>Melisandre Blackwood</t>
  </si>
  <si>
    <t>000.000.051-00</t>
  </si>
  <si>
    <t>Yara Baelish</t>
  </si>
  <si>
    <t>Solar do Entardecer</t>
  </si>
  <si>
    <t>Terras Da Tempestade</t>
  </si>
  <si>
    <t>Cersei Stark</t>
  </si>
  <si>
    <t>000.000.293-00</t>
  </si>
  <si>
    <t>Jon  Karstark</t>
  </si>
  <si>
    <t>000.000.139-00</t>
  </si>
  <si>
    <t>Yara Royce</t>
  </si>
  <si>
    <t>Jeor Lannister</t>
  </si>
  <si>
    <t>000.000.091-00</t>
  </si>
  <si>
    <t>bran florent</t>
  </si>
  <si>
    <t>000.000.218-00</t>
  </si>
  <si>
    <t>Jojen Redwyne</t>
  </si>
  <si>
    <t>000.000.334-00</t>
  </si>
  <si>
    <t>Bronn Mallister</t>
  </si>
  <si>
    <t>000.000.200-00</t>
  </si>
  <si>
    <t>Olenna Reed</t>
  </si>
  <si>
    <t>000.000.248-00</t>
  </si>
  <si>
    <t>Braavos | Essos</t>
  </si>
  <si>
    <t>Jon Hightower</t>
  </si>
  <si>
    <t>000.000.081-00</t>
  </si>
  <si>
    <t>renly dayne</t>
  </si>
  <si>
    <t>000.000.065-00</t>
  </si>
  <si>
    <t>Missandei Karstark</t>
  </si>
  <si>
    <t>000.000.044-00</t>
  </si>
  <si>
    <t>terras da coroa</t>
  </si>
  <si>
    <t>Catelyn Cerwyn</t>
  </si>
  <si>
    <t>000.000.308-00</t>
  </si>
  <si>
    <t>Margaery Dayne</t>
  </si>
  <si>
    <t>000.000.276-00</t>
  </si>
  <si>
    <t>Rickon Karstark</t>
  </si>
  <si>
    <t>000.000.088-00</t>
  </si>
  <si>
    <t>Jorah Seaworth</t>
  </si>
  <si>
    <t>Stannis Redwyne</t>
  </si>
  <si>
    <t>000.000.216-00</t>
  </si>
  <si>
    <t>Jardim de Cima | Campina</t>
  </si>
  <si>
    <t>000.000.277-00</t>
  </si>
  <si>
    <t>LORAS BAELISH</t>
  </si>
  <si>
    <t>000.000.217-00</t>
  </si>
  <si>
    <t>Viserys Florent</t>
  </si>
  <si>
    <t>000.000.129-00</t>
  </si>
  <si>
    <t>Jon Marbrand</t>
  </si>
  <si>
    <t>000.000.359-00</t>
  </si>
  <si>
    <t>Aegon Bracken</t>
  </si>
  <si>
    <t>000.000.244-00</t>
  </si>
  <si>
    <t>terras fluviais</t>
  </si>
  <si>
    <t>loras payne</t>
  </si>
  <si>
    <t>000.000.027-00</t>
  </si>
  <si>
    <t>Missandei  Tarly</t>
  </si>
  <si>
    <t>000.000.196-00</t>
  </si>
  <si>
    <t>Aegon Baelish</t>
  </si>
  <si>
    <t>Meereen | Essos</t>
  </si>
  <si>
    <t>MELISANDRE TARGARYEN</t>
  </si>
  <si>
    <t>000.000.170-00</t>
  </si>
  <si>
    <t>loqueado</t>
  </si>
  <si>
    <t>Roose Cerwyn</t>
  </si>
  <si>
    <t>000.000.047-00</t>
  </si>
  <si>
    <t>Shae Frey</t>
  </si>
  <si>
    <t>Lyanna Swyft</t>
  </si>
  <si>
    <t>Rhaegar Targaryen</t>
  </si>
  <si>
    <t>000.000.342-00</t>
  </si>
  <si>
    <t>Varys Targaryen</t>
  </si>
  <si>
    <t>000.000.234-00</t>
  </si>
  <si>
    <t>Robb Stark</t>
  </si>
  <si>
    <t>000.000.228-00</t>
  </si>
  <si>
    <t>Gendry Hightower</t>
  </si>
  <si>
    <t>000.000.167-00</t>
  </si>
  <si>
    <t>Harrenhal | Terras Fluviais</t>
  </si>
  <si>
    <t>tormund glover</t>
  </si>
  <si>
    <t>000.000.087-00</t>
  </si>
  <si>
    <t>Tyrion Snow</t>
  </si>
  <si>
    <t>Beric  Umber</t>
  </si>
  <si>
    <t>Varys Florent</t>
  </si>
  <si>
    <t>Catelyn Umber</t>
  </si>
  <si>
    <t>Samwell Glover</t>
  </si>
  <si>
    <t>Thoros Clegane</t>
  </si>
  <si>
    <t>000.000.141-00</t>
  </si>
  <si>
    <t>THEON BARATHEON</t>
  </si>
  <si>
    <t>000.000.375-00</t>
  </si>
  <si>
    <t>SIM</t>
  </si>
  <si>
    <t>Melisandre  Baelish</t>
  </si>
  <si>
    <t>000.000.152-00</t>
  </si>
  <si>
    <t>Robert Yronwood</t>
  </si>
  <si>
    <t>000.000.075-00</t>
  </si>
  <si>
    <t>Meera Reed</t>
  </si>
  <si>
    <t>000.000.314-00</t>
  </si>
  <si>
    <t>tormund royce</t>
  </si>
  <si>
    <t>000.000.297-00</t>
  </si>
  <si>
    <t>Tyrion Karstark</t>
  </si>
  <si>
    <t>OESTE</t>
  </si>
  <si>
    <t>Missandei Florent</t>
  </si>
  <si>
    <t>000.000.282-00</t>
  </si>
  <si>
    <t>Varys  Stark</t>
  </si>
  <si>
    <t>Jeor Karstark</t>
  </si>
  <si>
    <t>000.000.310-00</t>
  </si>
  <si>
    <t>RENLY MORMONT</t>
  </si>
  <si>
    <t>000.000.376-00</t>
  </si>
  <si>
    <t>Eddard Royce</t>
  </si>
  <si>
    <t>000.000.181-00</t>
  </si>
  <si>
    <t>Terras Da Coroa</t>
  </si>
  <si>
    <t>Rhaegar Lannister</t>
  </si>
  <si>
    <t>Varys Blackwood</t>
  </si>
  <si>
    <t>000.000.373-00</t>
  </si>
  <si>
    <t>EDDARD WESTERLING</t>
  </si>
  <si>
    <t>000.000.094-00</t>
  </si>
  <si>
    <t>Varys  Blackwood</t>
  </si>
  <si>
    <t>Olenna Bracken</t>
  </si>
  <si>
    <t>000.000.225-00</t>
  </si>
  <si>
    <t>Aegon Marbrand</t>
  </si>
  <si>
    <t>Beric Tyrell</t>
  </si>
  <si>
    <t>000.000.242-00</t>
  </si>
  <si>
    <t>Asha Manderly</t>
  </si>
  <si>
    <t>000.000.357-00</t>
  </si>
  <si>
    <t>Ellaria Mormont</t>
  </si>
  <si>
    <t>000.000.157-00</t>
  </si>
  <si>
    <t>Grey Worm Baratheon</t>
  </si>
  <si>
    <t>000.000.221-00</t>
  </si>
  <si>
    <t>Ellaria Swyft</t>
  </si>
  <si>
    <t>000.000.115-00</t>
  </si>
  <si>
    <t>VALE</t>
  </si>
  <si>
    <t>Grey  Worm  Greyjoy</t>
  </si>
  <si>
    <t>000.000.182-00</t>
  </si>
  <si>
    <t>Jeor  Payne</t>
  </si>
  <si>
    <t>Bronn Royce</t>
  </si>
  <si>
    <t>Robert Hornwood</t>
  </si>
  <si>
    <t>000.000.259-00</t>
  </si>
  <si>
    <t>inativo</t>
  </si>
  <si>
    <t>Asha Bolton</t>
  </si>
  <si>
    <t>Bronn Blackwood</t>
  </si>
  <si>
    <t>000.000.052-00</t>
  </si>
  <si>
    <t>Daario Arryn</t>
  </si>
  <si>
    <t>000.000.173-00</t>
  </si>
  <si>
    <t>Jeor Marbrand</t>
  </si>
  <si>
    <t>000.000.073-00</t>
  </si>
  <si>
    <t>Petyr Karstark</t>
  </si>
  <si>
    <t>Ramsay Stark</t>
  </si>
  <si>
    <t>000.000.169-00</t>
  </si>
  <si>
    <t>Thoros Karstark</t>
  </si>
  <si>
    <t>000.000.012-00</t>
  </si>
  <si>
    <t>Gargalo</t>
  </si>
  <si>
    <t>Ellaria Martell</t>
  </si>
  <si>
    <t>000.000.148-00</t>
  </si>
  <si>
    <t>Yara Payne</t>
  </si>
  <si>
    <t>000.000.250-00</t>
  </si>
  <si>
    <t>Viserys Baratheon</t>
  </si>
  <si>
    <t>000.000.186-00</t>
  </si>
  <si>
    <t>Jeor Clegane</t>
  </si>
  <si>
    <t>SANDOR WESTERLING</t>
  </si>
  <si>
    <t>Gilly Frey</t>
  </si>
  <si>
    <t>000.000.258-00</t>
  </si>
  <si>
    <t>Loras Bracken</t>
  </si>
  <si>
    <t>000.000.254-00</t>
  </si>
  <si>
    <t>Atalaia da Água Cinzenta | Gargalo</t>
  </si>
  <si>
    <t>Varys Tallhart</t>
  </si>
  <si>
    <t>Roose Bracken</t>
  </si>
  <si>
    <t>Varys Arryn</t>
  </si>
  <si>
    <t>000.000.097-00</t>
  </si>
  <si>
    <t>Asha Redwyne</t>
  </si>
  <si>
    <t>Beric Tallhart</t>
  </si>
  <si>
    <t>000.000.291-00</t>
  </si>
  <si>
    <t>Margaery Cerwyn</t>
  </si>
  <si>
    <t>000.000.211-00</t>
  </si>
  <si>
    <t>Loras Frey</t>
  </si>
  <si>
    <t>000.000.017-00</t>
  </si>
  <si>
    <t>Bran Karstark</t>
  </si>
  <si>
    <t>000.000.241-00</t>
  </si>
  <si>
    <t>ROBERT CERWYN</t>
  </si>
  <si>
    <t>Thoros Yronwood</t>
  </si>
  <si>
    <t>000.000.201-00</t>
  </si>
  <si>
    <t>Bronn Umber</t>
  </si>
  <si>
    <t>000.000.177-00</t>
  </si>
  <si>
    <t>Brienne Dayne</t>
  </si>
  <si>
    <t>000.000.070-00</t>
  </si>
  <si>
    <t>Bronn Bolton</t>
  </si>
  <si>
    <t>000.000.143-00</t>
  </si>
  <si>
    <t>Rhaegar Hornwood</t>
  </si>
  <si>
    <t>000.000.178-00</t>
  </si>
  <si>
    <t>Meera Tarly</t>
  </si>
  <si>
    <t>000.000.326-00</t>
  </si>
  <si>
    <t>THOROS HORNWOOD</t>
  </si>
  <si>
    <t>000.000.245-00</t>
  </si>
  <si>
    <t>Jeor Martell</t>
  </si>
  <si>
    <t>000.000.061-00</t>
  </si>
  <si>
    <t>Lyanna Stark</t>
  </si>
  <si>
    <t>000.000.023-00</t>
  </si>
  <si>
    <t>Rhaegar Tallhart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</si>
  <si>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</si>
  <si>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</si>
  <si>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</si>
  <si>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</si>
  <si>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</si>
  <si>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</si>
  <si>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</si>
  <si>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000.000.354-00</t>
  </si>
  <si>
    <t>INATIVO</t>
  </si>
  <si>
    <t>Daario Cerwyn</t>
  </si>
  <si>
    <t>Catelyn Tarly</t>
  </si>
  <si>
    <t>Rickon Lannister</t>
  </si>
  <si>
    <t>000.000.197-00</t>
  </si>
  <si>
    <t>Jorah Marbrand</t>
  </si>
  <si>
    <t>000.000.168-00</t>
  </si>
  <si>
    <t>Pedra do Dragão | Terras da Coroa</t>
  </si>
  <si>
    <t>Renly Seaworth</t>
  </si>
  <si>
    <t>robert mallister</t>
  </si>
  <si>
    <t>000.000.037-00</t>
  </si>
  <si>
    <t>Ramsay Dayne</t>
  </si>
  <si>
    <t>000.000.224-00</t>
  </si>
  <si>
    <t>BRIENNE KARSTARK</t>
  </si>
  <si>
    <t>000.000.031-00</t>
  </si>
  <si>
    <t>Tormund Greyjoy</t>
  </si>
  <si>
    <t>000.000.009-00</t>
  </si>
  <si>
    <t>Jaime Yronwood</t>
  </si>
  <si>
    <t>Thoros Payne</t>
  </si>
  <si>
    <t>000.000.006-00</t>
  </si>
  <si>
    <t>Correrrio | Terras Fluviais</t>
  </si>
  <si>
    <t>theon tarth</t>
  </si>
  <si>
    <t>000.000.289-00</t>
  </si>
  <si>
    <t>Stannis Seaworth</t>
  </si>
  <si>
    <t>000.000.316-00</t>
  </si>
  <si>
    <t>Grey Worm Dondarrion</t>
  </si>
  <si>
    <t>Olenna Arryn</t>
  </si>
  <si>
    <t>Tyrion Tyrell</t>
  </si>
  <si>
    <t>Robb Clegane</t>
  </si>
  <si>
    <t>000.000.304-00</t>
  </si>
  <si>
    <t>Bran Dondarrion</t>
  </si>
  <si>
    <t>Jeor Baelish</t>
  </si>
  <si>
    <t>000.000.332-00</t>
  </si>
  <si>
    <t>Jaime Dondarrion</t>
  </si>
  <si>
    <t>000.000.056-00</t>
  </si>
  <si>
    <t>Loras Manderly</t>
  </si>
  <si>
    <t>Monte Chifre | Campina</t>
  </si>
  <si>
    <t>Beric Seaworth</t>
  </si>
  <si>
    <t>000.000.025-00</t>
  </si>
  <si>
    <t>Lyanna Seaworth</t>
  </si>
  <si>
    <t>000.000.041-00</t>
  </si>
  <si>
    <t>Margaery Marbrand</t>
  </si>
  <si>
    <t>000.000.146-00</t>
  </si>
  <si>
    <t>Tormund Yronwood</t>
  </si>
  <si>
    <t>000.000.187-00</t>
  </si>
  <si>
    <t>Ramsay Tarly</t>
  </si>
  <si>
    <t>Shae Mormont</t>
  </si>
  <si>
    <t>000.000.114-00</t>
  </si>
  <si>
    <t>renly bolton</t>
  </si>
  <si>
    <t>000.000.303-00</t>
  </si>
  <si>
    <t>Grey Worm Hornwood</t>
  </si>
  <si>
    <t>000.000.322-00</t>
  </si>
  <si>
    <t>Rhaegar Dayne</t>
  </si>
  <si>
    <t>000.000.335-00</t>
  </si>
  <si>
    <t>BRAN BOLTON</t>
  </si>
  <si>
    <t>000.000.003-00</t>
  </si>
  <si>
    <t>Shae Tarly</t>
  </si>
  <si>
    <t>000.000.235-00</t>
  </si>
  <si>
    <t>000.000.307-00</t>
  </si>
  <si>
    <t>Melisandre Crakehall</t>
  </si>
  <si>
    <t>000.000.260-00</t>
  </si>
  <si>
    <t>Sandor Westerling</t>
  </si>
  <si>
    <t>000.000.008-00</t>
  </si>
  <si>
    <t>Petyr Snow</t>
  </si>
  <si>
    <t>Robert Tarth</t>
  </si>
  <si>
    <t>000.000.001-00</t>
  </si>
  <si>
    <t>Robb Greyjoy</t>
  </si>
  <si>
    <t>000.000.227-00</t>
  </si>
  <si>
    <t>Yara  Marbrand</t>
  </si>
  <si>
    <t>000.000.266-00</t>
  </si>
  <si>
    <t>Cersei  Marbrand</t>
  </si>
  <si>
    <t>000.000.158-00</t>
  </si>
  <si>
    <t>Melisandre Baratheon</t>
  </si>
  <si>
    <t>000.000.020-00</t>
  </si>
  <si>
    <t>Yara Tallhart</t>
  </si>
  <si>
    <t>Gilly Mormont</t>
  </si>
  <si>
    <t>000.000.220-00</t>
  </si>
  <si>
    <t>Brienne Dondarrion</t>
  </si>
  <si>
    <t>000.000.256-00</t>
  </si>
  <si>
    <t>Missandei Glover</t>
  </si>
  <si>
    <t>Bronn Manderly</t>
  </si>
  <si>
    <t>000.000.074-00</t>
  </si>
  <si>
    <t>Aegon Florent</t>
  </si>
  <si>
    <t>Daario  Dayne</t>
  </si>
  <si>
    <t>000.000.144-00</t>
  </si>
  <si>
    <t>Roose Dondarrion</t>
  </si>
  <si>
    <t>000.000.126-00</t>
  </si>
  <si>
    <t>Stannis Greyjoy</t>
  </si>
  <si>
    <t>000.000.236-00</t>
  </si>
  <si>
    <t>Thoros Greyjoy</t>
  </si>
  <si>
    <t>000.000.043-00</t>
  </si>
  <si>
    <t>Thoros Crakehall</t>
  </si>
  <si>
    <t>Viserys  Umber</t>
  </si>
  <si>
    <t>000.000.155-00</t>
  </si>
  <si>
    <t>Cersei Greyjoy</t>
  </si>
  <si>
    <t>000.000.265-00</t>
  </si>
  <si>
    <t>Tormund Tyrell</t>
  </si>
  <si>
    <t>000.000.378-00</t>
  </si>
  <si>
    <t>Bronn Stark</t>
  </si>
  <si>
    <t>000.000.313-00</t>
  </si>
  <si>
    <t>Tyrion Blackwood</t>
  </si>
  <si>
    <t>000.000.100-00</t>
  </si>
  <si>
    <t>Brienne Westerling</t>
  </si>
  <si>
    <t>000.000.379-00</t>
  </si>
  <si>
    <t>Beric Manderly</t>
  </si>
  <si>
    <t>Jojen Hornwood</t>
  </si>
  <si>
    <t>000.000.128-00</t>
  </si>
  <si>
    <t>theon baelish</t>
  </si>
  <si>
    <t>000.000.380-00</t>
  </si>
  <si>
    <t>Aegon Hornwood</t>
  </si>
  <si>
    <t>Ellaria Redwyne</t>
  </si>
  <si>
    <t>000.000.093-00</t>
  </si>
  <si>
    <t>missandei redwyne</t>
  </si>
  <si>
    <t>000.000.111-00</t>
  </si>
  <si>
    <t>000.000.007-00</t>
  </si>
  <si>
    <t>Eddard Payne</t>
  </si>
  <si>
    <t>CERSEI GLOVER</t>
  </si>
  <si>
    <t>000.000.324-00</t>
  </si>
  <si>
    <t>Theon Karstark</t>
  </si>
  <si>
    <t>000.000.296-00</t>
  </si>
  <si>
    <t>Jon Cerwyn</t>
  </si>
  <si>
    <t>000.000.112-00</t>
  </si>
  <si>
    <t>Jon Bolton</t>
  </si>
  <si>
    <t>000.000.130-00</t>
  </si>
  <si>
    <t>Robert Stark</t>
  </si>
  <si>
    <t>000.000.315-00</t>
  </si>
  <si>
    <t>Tyrion Lannister</t>
  </si>
  <si>
    <t>Eddard Greyjoy</t>
  </si>
  <si>
    <t>000.000.238-00</t>
  </si>
  <si>
    <t>000.000.374-00</t>
  </si>
  <si>
    <t>Gilly Marbrand</t>
  </si>
  <si>
    <t>Catelyn Lannister</t>
  </si>
  <si>
    <t>000.000.110-00</t>
  </si>
  <si>
    <t>Gendry Cerwyn</t>
  </si>
  <si>
    <t>000.000.153-00</t>
  </si>
  <si>
    <t>Lannisporto | Oeste</t>
  </si>
  <si>
    <t>Jon Dayne</t>
  </si>
  <si>
    <t>Renly Blackwood</t>
  </si>
  <si>
    <t>000.000.106-00</t>
  </si>
  <si>
    <t>Davos  Baratheon</t>
  </si>
  <si>
    <t>000.000.055-00</t>
  </si>
  <si>
    <t>Bronn Crakehall</t>
  </si>
  <si>
    <t>000.000.339-00</t>
  </si>
  <si>
    <t>Cersei Umber</t>
  </si>
  <si>
    <t>000.000.058-00</t>
  </si>
  <si>
    <t>petyr yronwood</t>
  </si>
  <si>
    <t>000.000.095-00</t>
  </si>
  <si>
    <t>Robert Westerling</t>
  </si>
  <si>
    <t>000.000.105-00</t>
  </si>
  <si>
    <t>Jon Tarth</t>
  </si>
  <si>
    <t>000.000.208-00</t>
  </si>
  <si>
    <t>Jaime Seaworth</t>
  </si>
  <si>
    <t>000.000.263-00</t>
  </si>
  <si>
    <t>Jorah  Tyrell</t>
  </si>
  <si>
    <t>000.000.229-00</t>
  </si>
  <si>
    <t>Eddard Stark</t>
  </si>
  <si>
    <t>000.000.015-00</t>
  </si>
  <si>
    <t>Lyanna Tarly</t>
  </si>
  <si>
    <t>000.000.232-00</t>
  </si>
  <si>
    <t>Cersei Tarth</t>
  </si>
  <si>
    <t>000.000.147-00</t>
  </si>
  <si>
    <t>Catelyn Mallister</t>
  </si>
  <si>
    <t>000.000.062-00</t>
  </si>
  <si>
    <t>Castelo Negro | Norte</t>
  </si>
  <si>
    <t>Brienne Mallister</t>
  </si>
  <si>
    <t>000.000.202-00</t>
  </si>
  <si>
    <t>Ilha dos Ursos | Norte</t>
  </si>
  <si>
    <t>Stannis Crakehall</t>
  </si>
  <si>
    <t>000.000.351-00</t>
  </si>
  <si>
    <t>Sansa Dondarrion</t>
  </si>
  <si>
    <t>000.000.101-00</t>
  </si>
  <si>
    <t>Beric  Karstark</t>
  </si>
  <si>
    <t>000.000.172-00</t>
  </si>
  <si>
    <t>Bran Umber</t>
  </si>
  <si>
    <t>000.000.104-00</t>
  </si>
  <si>
    <t>Davos Umber</t>
  </si>
  <si>
    <t>000.000.353-00</t>
  </si>
  <si>
    <t>Aegon Redwyne</t>
  </si>
  <si>
    <t>000.000.347-00</t>
  </si>
  <si>
    <t>Robert Mallister</t>
  </si>
  <si>
    <t>MARGAERY DONDARRION</t>
  </si>
  <si>
    <t>Roose Bolton</t>
  </si>
  <si>
    <t>Jon Hornwood</t>
  </si>
  <si>
    <t>Shae  Dayne</t>
  </si>
  <si>
    <t>000.000.312-00</t>
  </si>
  <si>
    <t>Petyr Swyft</t>
  </si>
  <si>
    <t>000.000.275-00</t>
  </si>
  <si>
    <t>Jaime Bracken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</si>
  <si>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</si>
  <si>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</si>
  <si>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</si>
  <si>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</si>
  <si>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</si>
  <si>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</si>
  <si>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</si>
  <si>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</si>
  <si>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Bran Frey</t>
  </si>
  <si>
    <t>000.000.189-00</t>
  </si>
  <si>
    <t>Rickon Targaryen</t>
  </si>
  <si>
    <t>000.000.298-00</t>
  </si>
  <si>
    <t>Lyanna Westerling</t>
  </si>
  <si>
    <t>000.000.004-00</t>
  </si>
  <si>
    <t>RENLY STARK</t>
  </si>
  <si>
    <t>olenna hornwood</t>
  </si>
  <si>
    <t>Aegon Blackwood</t>
  </si>
  <si>
    <t>000.000.118-00</t>
  </si>
  <si>
    <t>Brienne Glover</t>
  </si>
  <si>
    <t>000.000.355-00</t>
  </si>
  <si>
    <t>Ellaria Cerwyn</t>
  </si>
  <si>
    <t>000.000.019-00</t>
  </si>
  <si>
    <t>Loras Lannister</t>
  </si>
  <si>
    <t>000.000.302-00</t>
  </si>
  <si>
    <t>000.000.103-00</t>
  </si>
  <si>
    <t>Catelyn  Dayne</t>
  </si>
  <si>
    <t>000.000.213-00</t>
  </si>
  <si>
    <t>LYANNA TARTH</t>
  </si>
  <si>
    <t>000.000.345-00</t>
  </si>
  <si>
    <t>Varys Lannister</t>
  </si>
  <si>
    <t>000.000.367-00</t>
  </si>
  <si>
    <t>Ellaria Targaryen</t>
  </si>
  <si>
    <t>000.000.149-00</t>
  </si>
  <si>
    <t>000.000.010-00</t>
  </si>
  <si>
    <t>Bronn Baratheon</t>
  </si>
  <si>
    <t>Jojen Dayne</t>
  </si>
  <si>
    <t>000.000.199-00</t>
  </si>
  <si>
    <t>Sandor Clegane</t>
  </si>
  <si>
    <t>000.000.164-00</t>
  </si>
  <si>
    <t>Thoros Westerling</t>
  </si>
  <si>
    <t>Stannis Westerling</t>
  </si>
  <si>
    <t>000.000.071-00</t>
  </si>
  <si>
    <t>000.000.079-00</t>
  </si>
  <si>
    <t>Melisandre Cerwyn</t>
  </si>
  <si>
    <t>000.000.120-00</t>
  </si>
  <si>
    <t>Thoros  Frey</t>
  </si>
  <si>
    <t>000.000.113-00</t>
  </si>
  <si>
    <t>Gilly Glover</t>
  </si>
  <si>
    <t>Robb Reed</t>
  </si>
  <si>
    <t>000.000.246-00</t>
  </si>
  <si>
    <t>Petyr Mallister</t>
  </si>
  <si>
    <t>Rickon Frey</t>
  </si>
  <si>
    <t>000.000.013-00</t>
  </si>
  <si>
    <t>Loras  Tarth</t>
  </si>
  <si>
    <t>000.000.286-00</t>
  </si>
  <si>
    <t>Theon Frey</t>
  </si>
  <si>
    <t>000.000.123-00</t>
  </si>
  <si>
    <t>Renly Tallhart</t>
  </si>
  <si>
    <t>Yara Mallister</t>
  </si>
  <si>
    <t>000.000.134-00</t>
  </si>
  <si>
    <t>Grey Worm Targaryen</t>
  </si>
  <si>
    <t>000.000.060-00</t>
  </si>
  <si>
    <t>Sandor Dondarrion</t>
  </si>
  <si>
    <t>Robert Manderly</t>
  </si>
  <si>
    <t>Margaery Tyrell</t>
  </si>
  <si>
    <t>000.000.107-00</t>
  </si>
  <si>
    <t>DAARIO TARLY</t>
  </si>
  <si>
    <t>000.000.046-00</t>
  </si>
  <si>
    <t>Tyrion Clegane</t>
  </si>
  <si>
    <t>000.000.281-00</t>
  </si>
  <si>
    <t>Viserys Hightower</t>
  </si>
  <si>
    <t>000.000.080-00</t>
  </si>
  <si>
    <t>Aegon Umber</t>
  </si>
  <si>
    <t>000.000.356-00</t>
  </si>
  <si>
    <t>Melisandre Glover</t>
  </si>
  <si>
    <t>000.000.329-00</t>
  </si>
  <si>
    <t>Jon Baelish</t>
  </si>
  <si>
    <t>Bran Tarly</t>
  </si>
  <si>
    <t>000.000.269-00</t>
  </si>
  <si>
    <t>Eddard Dayne</t>
  </si>
  <si>
    <t>000.000.280-00</t>
  </si>
  <si>
    <t>Renly Bolton</t>
  </si>
  <si>
    <t>Rhaegar Payne</t>
  </si>
  <si>
    <t>000.000.253-00</t>
  </si>
  <si>
    <t>Bronn Dondarrion</t>
  </si>
  <si>
    <t>000.000.036-00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</si>
</sst>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&quot;R$&quot;\ 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FFF8-BA4B-4438-B69B-1CD6AA589167}">
  <dimension ref="A1:AA369"/>
  <sheetViews>
    <sheetView tabSelected="1" topLeftCell="B1" workbookViewId="0">
      <selection activeCell="B33" sqref="B33"/>
    </sheetView>
  </sheetViews>
  <sheetFormatPr defaultColWidth="9.140625" defaultRowHeight="15"/>
  <cols>
    <col min="1" max="1" width="11.42578125" style="2" hidden="1" customWidth="1"/>
    <col min="2" max="2" width="19.42578125" style="2" customWidth="1"/>
    <col min="3" max="3" width="24.28515625" style="2" hidden="1" customWidth="1"/>
    <col min="4" max="4" width="17.42578125" style="2" customWidth="1"/>
    <col min="5" max="5" width="19.42578125" style="2" hidden="1" customWidth="1"/>
    <col min="6" max="6" width="19.42578125" style="2" customWidth="1"/>
    <col min="7" max="7" width="19.42578125" style="2" hidden="1" customWidth="1"/>
    <col min="8" max="8" width="19.42578125" style="2" customWidth="1"/>
    <col min="9" max="9" width="19.42578125" style="2" hidden="1" customWidth="1"/>
    <col min="10" max="10" width="19.42578125" style="2" customWidth="1"/>
    <col min="11" max="11" width="32" style="2" hidden="1" customWidth="1"/>
    <col min="12" max="13" width="19.42578125" style="2" customWidth="1"/>
    <col min="14" max="14" width="19.42578125" style="3" hidden="1" customWidth="1"/>
    <col min="15" max="15" width="19.42578125" style="3" customWidth="1"/>
    <col min="16" max="16" width="19.42578125" style="4" hidden="1" customWidth="1"/>
    <col min="17" max="17" width="19.42578125" style="5" customWidth="1"/>
    <col min="18" max="19" width="19.42578125" style="2" hidden="1" customWidth="1"/>
    <col min="20" max="20" width="19.42578125" style="2" customWidth="1"/>
    <col min="21" max="21" width="19.42578125" style="2" hidden="1" customWidth="1"/>
    <col min="22" max="23" width="19.42578125" style="2" customWidth="1"/>
    <col min="24" max="24" width="19.42578125" style="5" customWidth="1"/>
    <col min="25" max="25" width="13" bestFit="1" customWidth="1"/>
    <col min="26" max="26" width="15" bestFit="1" customWidth="1"/>
    <col min="27" max="27" width="20.5703125" style="1" bestFit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4" t="s">
        <v>14</v>
      </c>
      <c r="Q1" s="5" t="s">
        <v>14</v>
      </c>
      <c r="R1" s="2" t="s">
        <v>15</v>
      </c>
      <c r="S1" s="2" t="s">
        <v>16</v>
      </c>
      <c r="T1" s="2" t="str">
        <f>S1</f>
        <v>Flag_Inadimplente</v>
      </c>
      <c r="U1" s="2" t="s">
        <v>17</v>
      </c>
      <c r="V1" s="2" t="s">
        <v>18</v>
      </c>
      <c r="W1" s="2" t="s">
        <v>19</v>
      </c>
      <c r="X1" s="5" t="s">
        <v>20</v>
      </c>
      <c r="Y1" t="s">
        <v>21</v>
      </c>
      <c r="Z1" t="s">
        <v>22</v>
      </c>
      <c r="AA1" s="1" t="s">
        <v>23</v>
      </c>
    </row>
    <row r="2" spans="1:27">
      <c r="A2" s="2" t="s">
        <v>24</v>
      </c>
      <c r="B2" s="2" t="str">
        <f>IF(LEFT(A2,5)="Ativo", "Ativo", "Inativo")</f>
        <v>Ativo</v>
      </c>
      <c r="C2" s="2" t="s">
        <v>25</v>
      </c>
      <c r="D2" s="2" t="str">
        <f>PROPER(C2)</f>
        <v>Ellaria Baelish</v>
      </c>
      <c r="E2" s="2" t="s">
        <v>26</v>
      </c>
      <c r="F2" s="2" t="str">
        <f>TEXT(_xlfn.NUMBERVALUE(SUBSTITUTE(SUBSTITUTE(E2,".",""),"-","")), "000\.000\.000\-00")</f>
        <v>000.000.336-00</v>
      </c>
      <c r="G2" s="2">
        <v>32</v>
      </c>
      <c r="H2" s="2">
        <f ca="1">IF(G2="", DATEDIF(J2, TODAY(), "Y"), G2)</f>
        <v>32</v>
      </c>
      <c r="I2" s="6">
        <v>34347</v>
      </c>
      <c r="J2" s="6">
        <f>I2</f>
        <v>34347</v>
      </c>
      <c r="K2" s="2" t="s">
        <v>27</v>
      </c>
      <c r="L2" s="2" t="str" cm="1">
        <f t="array" ref="L2">_xlfn.TEXTSPLIT(K2,"|")</f>
        <v>Ninho da Águia</v>
      </c>
      <c r="M2" s="2" t="s">
        <v>28</v>
      </c>
      <c r="N2" s="3">
        <v>15600</v>
      </c>
      <c r="O2" s="3">
        <f>IF(OR(N2="", N2="sem renda"), "", N2)</f>
        <v>15600</v>
      </c>
      <c r="P2" s="4">
        <v>0</v>
      </c>
      <c r="Q2" s="5">
        <f>P2</f>
        <v>0</v>
      </c>
      <c r="R2" s="2" t="s">
        <v>29</v>
      </c>
      <c r="S2" s="2" t="str">
        <f>IF(R2="", "", IF(R2=0, "não", IF(R2=1, "sim", R2)))</f>
        <v>Sim</v>
      </c>
      <c r="T2" s="2" t="str">
        <f>IF(LEFT(UPPER(S2),1)="S", "Sim", "Não")</f>
        <v>Sim</v>
      </c>
      <c r="U2" s="2">
        <v>34</v>
      </c>
      <c r="V2" s="2">
        <f>IF(U2="", 0, U2)</f>
        <v>34</v>
      </c>
      <c r="W2" s="2" t="str">
        <f>IF(U2&lt;=10, "baixo", IF(U2&lt;=25, "médio", "alto"))</f>
        <v>alto</v>
      </c>
      <c r="X2" s="5">
        <v>16000</v>
      </c>
      <c r="Y2" t="str">
        <f>IF(AND(W2="alto", S2="Sim"), "Negativo", "Positivo")</f>
        <v>Negativo</v>
      </c>
      <c r="Z2" t="str">
        <f>IF(OR(Q2="N/A", AND(Q2&gt;50000, S2="Sim")), "Negativo", "Positivo")</f>
        <v>Positivo</v>
      </c>
      <c r="AA2" s="1">
        <f>IF(AND(Y2="Negativo",Z2="Negativo"),0,IF(AND(B2="Ativo",OR(Y2="Positivo",Z2="Positivo")),X2*8%,0))</f>
        <v>1280</v>
      </c>
    </row>
    <row r="3" spans="1:27">
      <c r="A3" s="2" t="s">
        <v>30</v>
      </c>
      <c r="B3" s="2" t="str">
        <f t="shared" ref="B3:B66" si="0">IF(LEFT(A3,5)="Ativo", "Ativo", "Inativo")</f>
        <v>Inativo</v>
      </c>
      <c r="C3" s="2" t="s">
        <v>31</v>
      </c>
      <c r="D3" s="2" t="str">
        <f>PROPER(C3)</f>
        <v>Stannis Lannister</v>
      </c>
      <c r="E3" s="2">
        <v>36100</v>
      </c>
      <c r="F3" s="2" t="str">
        <f t="shared" ref="F3:F66" si="1">TEXT(_xlfn.NUMBERVALUE(SUBSTITUTE(SUBSTITUTE(E3,".",""),"-","")), "000\.000\.000\-00")</f>
        <v>000.000.361-00</v>
      </c>
      <c r="G3" s="2">
        <v>24</v>
      </c>
      <c r="H3" s="2">
        <f ca="1">IF(G3="", DATEDIF(J3, TODAY(), "Y"), G3)</f>
        <v>24</v>
      </c>
      <c r="I3" s="6">
        <v>37313</v>
      </c>
      <c r="J3" s="6">
        <f t="shared" ref="J3:J66" si="2">I3</f>
        <v>37313</v>
      </c>
      <c r="K3" s="2" t="s">
        <v>32</v>
      </c>
      <c r="L3" s="2" t="str" cm="1">
        <f t="array" ref="L3">_xlfn.TEXTSPLIT(K3,"|")</f>
        <v>Ponta Tempestade</v>
      </c>
      <c r="M3" s="2" t="s">
        <v>33</v>
      </c>
      <c r="N3" s="3">
        <v>11000</v>
      </c>
      <c r="O3" s="3">
        <f t="shared" ref="O3:O66" si="3">IF(OR(N3="", N3="sem renda"), "", N3)</f>
        <v>11000</v>
      </c>
      <c r="P3" s="4">
        <v>76500</v>
      </c>
      <c r="Q3" s="5">
        <f>P3</f>
        <v>76500</v>
      </c>
      <c r="R3" s="2" t="s">
        <v>29</v>
      </c>
      <c r="S3" s="2" t="str">
        <f>IF(R3="", "", IF(R3=0, "não", IF(R3=1, "sim", R3)))</f>
        <v>Sim</v>
      </c>
      <c r="T3" s="2" t="str">
        <f t="shared" ref="T3:T66" si="4">IF(LEFT(UPPER(S3),1)="S", "Sim", "Não")</f>
        <v>Sim</v>
      </c>
      <c r="U3" s="2">
        <v>33</v>
      </c>
      <c r="V3" s="2">
        <f t="shared" ref="V3:V66" si="5">IF(U3="", 0, U3)</f>
        <v>33</v>
      </c>
      <c r="W3" s="2" t="str">
        <f t="shared" ref="W3:W66" si="6">IF(U3&lt;=10, "baixo", IF(U3&lt;=25, "médio", "alto"))</f>
        <v>alto</v>
      </c>
      <c r="X3" s="5">
        <v>26000</v>
      </c>
      <c r="Y3" t="str">
        <f t="shared" ref="Y3:Y66" si="7">IF(AND(W3="alto", S3="Sim"), "Negativo", "Positivo")</f>
        <v>Negativo</v>
      </c>
      <c r="Z3" t="str">
        <f t="shared" ref="Z3:Z66" si="8">IF(OR(Q3="N/A", AND(Q3&gt;50000, S3="Sim")), "Negativo", "Positivo")</f>
        <v>Negativo</v>
      </c>
      <c r="AA3" s="1">
        <f>IF(AND(Y3="Negativo",Z3="Negativo"),0,IF(AND(B3="Ativo",OR(Y3="Positivo",Z3="Positivo")),X3*8%,0))</f>
        <v>0</v>
      </c>
    </row>
    <row r="4" spans="1:27">
      <c r="A4" s="2" t="s">
        <v>24</v>
      </c>
      <c r="B4" s="2" t="str">
        <f t="shared" si="0"/>
        <v>Ativo</v>
      </c>
      <c r="C4" s="2" t="s">
        <v>34</v>
      </c>
      <c r="D4" s="2" t="str">
        <f>PROPER(C4)</f>
        <v>Asha Hornwood</v>
      </c>
      <c r="E4" s="2" t="s">
        <v>35</v>
      </c>
      <c r="F4" s="2" t="str">
        <f t="shared" si="1"/>
        <v>000.000.363-00</v>
      </c>
      <c r="G4" s="2">
        <v>33</v>
      </c>
      <c r="H4" s="2">
        <f ca="1">IF(G4="", DATEDIF(J4, TODAY(), "Y"), G4)</f>
        <v>33</v>
      </c>
      <c r="I4" s="2">
        <v>34144</v>
      </c>
      <c r="J4" s="6">
        <f t="shared" si="2"/>
        <v>34144</v>
      </c>
      <c r="K4" s="2" t="s">
        <v>36</v>
      </c>
      <c r="L4" s="2" t="str" cm="1">
        <f t="array" ref="L4">_xlfn.TEXTSPLIT(K4,"|")</f>
        <v>Pedra do Dragão</v>
      </c>
      <c r="M4" s="2" t="s">
        <v>37</v>
      </c>
      <c r="N4" s="3">
        <v>21500</v>
      </c>
      <c r="O4" s="3">
        <f t="shared" si="3"/>
        <v>21500</v>
      </c>
      <c r="P4" s="4" t="s">
        <v>38</v>
      </c>
      <c r="Q4" s="5" t="str">
        <f>P4</f>
        <v>N/A</v>
      </c>
      <c r="R4" s="2" t="s">
        <v>39</v>
      </c>
      <c r="S4" s="2" t="str">
        <f>IF(R4="", "", IF(R4=0, "não", IF(R4=1, "sim", R4)))</f>
        <v>não</v>
      </c>
      <c r="T4" s="2" t="str">
        <f t="shared" si="4"/>
        <v>Não</v>
      </c>
      <c r="U4" s="2">
        <v>22</v>
      </c>
      <c r="V4" s="2">
        <f t="shared" si="5"/>
        <v>22</v>
      </c>
      <c r="W4" s="2" t="str">
        <f t="shared" si="6"/>
        <v>médio</v>
      </c>
      <c r="X4" s="5">
        <v>51500</v>
      </c>
      <c r="Y4" t="str">
        <f t="shared" si="7"/>
        <v>Positivo</v>
      </c>
      <c r="Z4" t="str">
        <f t="shared" si="8"/>
        <v>Negativo</v>
      </c>
      <c r="AA4" s="1">
        <f>IF(AND(Y4="Negativo",Z4="Negativo"),0,IF(AND(B4="Ativo",OR(Y4="Positivo",Z4="Positivo")),X4*8%,0))</f>
        <v>4120</v>
      </c>
    </row>
    <row r="5" spans="1:27">
      <c r="A5" s="2" t="s">
        <v>24</v>
      </c>
      <c r="B5" s="2" t="str">
        <f t="shared" si="0"/>
        <v>Ativo</v>
      </c>
      <c r="C5" s="2" t="s">
        <v>40</v>
      </c>
      <c r="D5" s="2" t="str">
        <f t="shared" ref="D5:D66" si="9">PROPER(C5)</f>
        <v>Jorah Dondarrion</v>
      </c>
      <c r="E5" s="2" t="s">
        <v>41</v>
      </c>
      <c r="F5" s="2" t="str">
        <f t="shared" si="1"/>
        <v>000.000.210-00</v>
      </c>
      <c r="G5" s="2">
        <v>63</v>
      </c>
      <c r="H5" s="2">
        <f ca="1">IF(G5="", DATEDIF(J5, TODAY(), "Y"), G5)</f>
        <v>63</v>
      </c>
      <c r="I5" s="2">
        <v>23156</v>
      </c>
      <c r="J5" s="6">
        <f t="shared" si="2"/>
        <v>23156</v>
      </c>
      <c r="K5" s="2" t="s">
        <v>42</v>
      </c>
      <c r="L5" s="2" t="str" cm="1">
        <f t="array" ref="L5:M5">_xlfn.TEXTSPLIT(K5,"|")</f>
        <v xml:space="preserve">Pyke </v>
      </c>
      <c r="M5" s="2" t="str">
        <v xml:space="preserve"> Ilhas de Ferro</v>
      </c>
      <c r="N5" s="3">
        <v>10400</v>
      </c>
      <c r="O5" s="3">
        <f t="shared" si="3"/>
        <v>10400</v>
      </c>
      <c r="P5" s="4">
        <v>8500</v>
      </c>
      <c r="Q5" s="5">
        <f>P5</f>
        <v>8500</v>
      </c>
      <c r="R5" s="2" t="s">
        <v>39</v>
      </c>
      <c r="S5" s="2" t="str">
        <f t="shared" ref="S3:S66" si="10">IF(R5="", "", IF(R5=0, "não", IF(R5=1, "sim", R5)))</f>
        <v>não</v>
      </c>
      <c r="T5" s="2" t="str">
        <f t="shared" si="4"/>
        <v>Não</v>
      </c>
      <c r="U5" s="2">
        <v>39</v>
      </c>
      <c r="V5" s="2">
        <f t="shared" si="5"/>
        <v>39</v>
      </c>
      <c r="W5" s="2" t="str">
        <f t="shared" si="6"/>
        <v>alto</v>
      </c>
      <c r="X5" s="5">
        <v>36500</v>
      </c>
      <c r="Y5" t="str">
        <f t="shared" si="7"/>
        <v>Positivo</v>
      </c>
      <c r="Z5" t="str">
        <f t="shared" si="8"/>
        <v>Positivo</v>
      </c>
      <c r="AA5" s="1">
        <f>IF(AND(Y5="Negativo",Z5="Negativo"),0,IF(AND(B5="Ativo",OR(Y5="Positivo",Z5="Positivo")),X5*8%,0))</f>
        <v>2920</v>
      </c>
    </row>
    <row r="6" spans="1:27">
      <c r="A6" s="2" t="s">
        <v>24</v>
      </c>
      <c r="B6" s="2" t="str">
        <f t="shared" si="0"/>
        <v>Ativo</v>
      </c>
      <c r="C6" s="2" t="s">
        <v>43</v>
      </c>
      <c r="D6" s="2" t="str">
        <f t="shared" si="9"/>
        <v>Jojen Florent</v>
      </c>
      <c r="E6" s="2" t="s">
        <v>44</v>
      </c>
      <c r="F6" s="2" t="str">
        <f t="shared" si="1"/>
        <v>000.000.321-00</v>
      </c>
      <c r="G6" s="2">
        <v>32</v>
      </c>
      <c r="H6" s="2">
        <f ca="1">IF(G6="", DATEDIF(J6, TODAY(), "Y"), G6)</f>
        <v>32</v>
      </c>
      <c r="I6" s="2">
        <v>34299</v>
      </c>
      <c r="J6" s="6">
        <f t="shared" si="2"/>
        <v>34299</v>
      </c>
      <c r="K6" s="2" t="s">
        <v>27</v>
      </c>
      <c r="L6" s="2" t="str" cm="1">
        <f t="array" ref="L6">_xlfn.TEXTSPLIT(K6,"|")</f>
        <v>Ninho da Águia</v>
      </c>
      <c r="M6" s="2" t="s">
        <v>45</v>
      </c>
      <c r="N6" s="3">
        <v>30000</v>
      </c>
      <c r="O6" s="3">
        <f t="shared" si="3"/>
        <v>30000</v>
      </c>
      <c r="Q6" s="5">
        <f>P6</f>
        <v>0</v>
      </c>
      <c r="R6" s="2" t="s">
        <v>46</v>
      </c>
      <c r="S6" s="2" t="str">
        <f t="shared" si="10"/>
        <v>Não</v>
      </c>
      <c r="T6" s="2" t="str">
        <f t="shared" si="4"/>
        <v>Não</v>
      </c>
      <c r="U6" s="2">
        <v>5</v>
      </c>
      <c r="V6" s="2">
        <f t="shared" si="5"/>
        <v>5</v>
      </c>
      <c r="W6" s="2" t="str">
        <f t="shared" si="6"/>
        <v>baixo</v>
      </c>
      <c r="X6" s="5">
        <v>65000</v>
      </c>
      <c r="Y6" t="str">
        <f t="shared" si="7"/>
        <v>Positivo</v>
      </c>
      <c r="Z6" t="str">
        <f t="shared" si="8"/>
        <v>Positivo</v>
      </c>
      <c r="AA6" s="1">
        <f>IF(AND(Y6="Negativo",Z6="Negativo"),0,IF(AND(B6="Ativo",OR(Y6="Positivo",Z6="Positivo")),X6*8%,0))</f>
        <v>5200</v>
      </c>
    </row>
    <row r="7" spans="1:27">
      <c r="A7" s="2" t="s">
        <v>24</v>
      </c>
      <c r="B7" s="2" t="str">
        <f t="shared" si="0"/>
        <v>Ativo</v>
      </c>
      <c r="C7" s="2" t="s">
        <v>47</v>
      </c>
      <c r="D7" s="2" t="str">
        <f t="shared" si="9"/>
        <v>Olenna Baelish</v>
      </c>
      <c r="E7" s="2" t="s">
        <v>48</v>
      </c>
      <c r="F7" s="2" t="str">
        <f t="shared" si="1"/>
        <v>000.000.191-00</v>
      </c>
      <c r="G7" s="2">
        <v>48</v>
      </c>
      <c r="H7" s="2">
        <f ca="1">IF(G7="", DATEDIF(J7, TODAY(), "Y"), G7)</f>
        <v>48</v>
      </c>
      <c r="I7" s="2">
        <v>28647</v>
      </c>
      <c r="J7" s="6">
        <f t="shared" si="2"/>
        <v>28647</v>
      </c>
      <c r="K7" s="2" t="s">
        <v>49</v>
      </c>
      <c r="L7" s="2" t="str" cm="1">
        <f t="array" ref="L7">_xlfn.TEXTSPLIT(K7,"|")</f>
        <v>Lannisporto</v>
      </c>
      <c r="N7" s="3">
        <v>13200</v>
      </c>
      <c r="O7" s="3">
        <f t="shared" si="3"/>
        <v>13200</v>
      </c>
      <c r="P7" s="4">
        <v>3500</v>
      </c>
      <c r="Q7" s="5">
        <f>P7</f>
        <v>3500</v>
      </c>
      <c r="R7" s="2" t="s">
        <v>46</v>
      </c>
      <c r="S7" s="2" t="str">
        <f t="shared" si="10"/>
        <v>Não</v>
      </c>
      <c r="T7" s="2" t="str">
        <f t="shared" si="4"/>
        <v>Não</v>
      </c>
      <c r="U7" s="2">
        <v>1</v>
      </c>
      <c r="V7" s="2">
        <f t="shared" si="5"/>
        <v>1</v>
      </c>
      <c r="W7" s="2" t="str">
        <f t="shared" si="6"/>
        <v>baixo</v>
      </c>
      <c r="X7" s="5">
        <v>32500</v>
      </c>
      <c r="Y7" t="str">
        <f t="shared" si="7"/>
        <v>Positivo</v>
      </c>
      <c r="Z7" t="str">
        <f t="shared" si="8"/>
        <v>Positivo</v>
      </c>
      <c r="AA7" s="1">
        <f>IF(AND(Y7="Negativo",Z7="Negativo"),0,IF(AND(B7="Ativo",OR(Y7="Positivo",Z7="Positivo")),X7*8%,0))</f>
        <v>2600</v>
      </c>
    </row>
    <row r="8" spans="1:27">
      <c r="A8" s="2" t="s">
        <v>50</v>
      </c>
      <c r="B8" s="2" t="str">
        <f t="shared" si="0"/>
        <v>Ativo</v>
      </c>
      <c r="C8" s="2" t="s">
        <v>51</v>
      </c>
      <c r="D8" s="2" t="str">
        <f t="shared" si="9"/>
        <v>Brienne Manderly</v>
      </c>
      <c r="E8" s="2" t="s">
        <v>52</v>
      </c>
      <c r="F8" s="2" t="str">
        <f t="shared" si="1"/>
        <v>000.000.076-00</v>
      </c>
      <c r="G8" s="2">
        <v>28</v>
      </c>
      <c r="H8" s="2">
        <f ca="1">IF(G8="", DATEDIF(J8, TODAY(), "Y"), G8)</f>
        <v>28</v>
      </c>
      <c r="I8" s="6">
        <v>35830</v>
      </c>
      <c r="J8" s="6">
        <f t="shared" si="2"/>
        <v>35830</v>
      </c>
      <c r="K8" s="2" t="s">
        <v>49</v>
      </c>
      <c r="L8" s="2" t="str" cm="1">
        <f t="array" ref="L8">_xlfn.TEXTSPLIT(K8,"|")</f>
        <v>Lannisporto</v>
      </c>
      <c r="M8" s="2" t="s">
        <v>53</v>
      </c>
      <c r="N8" s="3">
        <v>8600</v>
      </c>
      <c r="O8" s="3">
        <f t="shared" si="3"/>
        <v>8600</v>
      </c>
      <c r="P8" s="4">
        <v>19000</v>
      </c>
      <c r="Q8" s="5">
        <f t="shared" ref="Q8:Q66" si="11">P8</f>
        <v>19000</v>
      </c>
      <c r="R8" s="2" t="s">
        <v>29</v>
      </c>
      <c r="S8" s="2" t="str">
        <f t="shared" si="10"/>
        <v>Sim</v>
      </c>
      <c r="T8" s="2" t="str">
        <f t="shared" si="4"/>
        <v>Sim</v>
      </c>
      <c r="U8" s="2">
        <v>4</v>
      </c>
      <c r="V8" s="2">
        <f t="shared" si="5"/>
        <v>4</v>
      </c>
      <c r="W8" s="2" t="str">
        <f t="shared" si="6"/>
        <v>baixo</v>
      </c>
      <c r="X8" s="5">
        <v>32500</v>
      </c>
      <c r="Y8" t="str">
        <f t="shared" si="7"/>
        <v>Positivo</v>
      </c>
      <c r="Z8" t="str">
        <f t="shared" si="8"/>
        <v>Positivo</v>
      </c>
      <c r="AA8" s="1">
        <f>IF(AND(Y8="Negativo",Z8="Negativo"),0,IF(AND(B8="Ativo",OR(Y8="Positivo",Z8="Positivo")),X8*8%,0))</f>
        <v>2600</v>
      </c>
    </row>
    <row r="9" spans="1:27">
      <c r="A9" s="2" t="s">
        <v>30</v>
      </c>
      <c r="B9" s="2" t="str">
        <f t="shared" si="0"/>
        <v>Inativo</v>
      </c>
      <c r="C9" s="2" t="s">
        <v>54</v>
      </c>
      <c r="D9" s="2" t="str">
        <f t="shared" si="9"/>
        <v>Yara Targaryen</v>
      </c>
      <c r="E9" s="2" t="s">
        <v>55</v>
      </c>
      <c r="F9" s="2" t="str">
        <f t="shared" si="1"/>
        <v>000.000.059-00</v>
      </c>
      <c r="G9" s="2">
        <v>42</v>
      </c>
      <c r="H9" s="2">
        <f ca="1">IF(G9="", DATEDIF(J9, TODAY(), "Y"), G9)</f>
        <v>42</v>
      </c>
      <c r="I9" s="6">
        <v>30810</v>
      </c>
      <c r="J9" s="6">
        <f t="shared" si="2"/>
        <v>30810</v>
      </c>
      <c r="K9" s="2" t="s">
        <v>56</v>
      </c>
      <c r="L9" s="2" t="str" cm="1">
        <f t="array" ref="L9">_xlfn.TEXTSPLIT(K9,"|")</f>
        <v>Pyke</v>
      </c>
      <c r="M9" s="2" t="s">
        <v>57</v>
      </c>
      <c r="N9" s="3">
        <v>18200</v>
      </c>
      <c r="O9" s="3">
        <f t="shared" si="3"/>
        <v>18200</v>
      </c>
      <c r="P9" s="4">
        <v>31000</v>
      </c>
      <c r="Q9" s="5">
        <f t="shared" si="11"/>
        <v>31000</v>
      </c>
      <c r="R9" s="2" t="s">
        <v>46</v>
      </c>
      <c r="S9" s="2" t="str">
        <f t="shared" si="10"/>
        <v>Não</v>
      </c>
      <c r="T9" s="2" t="str">
        <f t="shared" si="4"/>
        <v>Não</v>
      </c>
      <c r="U9" s="2">
        <v>19</v>
      </c>
      <c r="V9" s="2">
        <f t="shared" si="5"/>
        <v>19</v>
      </c>
      <c r="W9" s="2" t="str">
        <f t="shared" si="6"/>
        <v>médio</v>
      </c>
      <c r="X9" s="5">
        <v>63500</v>
      </c>
      <c r="Y9" t="str">
        <f t="shared" si="7"/>
        <v>Positivo</v>
      </c>
      <c r="Z9" t="str">
        <f t="shared" si="8"/>
        <v>Positivo</v>
      </c>
      <c r="AA9" s="1">
        <f>IF(AND(Y9="Negativo",Z9="Negativo"),0,IF(AND(B9="Ativo",OR(Y9="Positivo",Z9="Positivo")),X9*8%,0))</f>
        <v>0</v>
      </c>
    </row>
    <row r="10" spans="1:27">
      <c r="A10" s="2" t="s">
        <v>24</v>
      </c>
      <c r="B10" s="2" t="str">
        <f t="shared" si="0"/>
        <v>Ativo</v>
      </c>
      <c r="C10" s="2" t="s">
        <v>58</v>
      </c>
      <c r="D10" s="2" t="str">
        <f t="shared" si="9"/>
        <v>Margaery Tarly</v>
      </c>
      <c r="E10" s="2" t="s">
        <v>59</v>
      </c>
      <c r="F10" s="2" t="str">
        <f t="shared" si="1"/>
        <v>000.000.274-00</v>
      </c>
      <c r="G10" s="2">
        <v>34</v>
      </c>
      <c r="H10" s="2">
        <f ca="1">IF(G10="", DATEDIF(J10, TODAY(), "Y"), G10)</f>
        <v>34</v>
      </c>
      <c r="I10" s="6">
        <v>33624</v>
      </c>
      <c r="J10" s="6">
        <f t="shared" si="2"/>
        <v>33624</v>
      </c>
      <c r="K10" s="2" t="s">
        <v>56</v>
      </c>
      <c r="L10" s="2" t="str" cm="1">
        <f t="array" ref="L10">_xlfn.TEXTSPLIT(K10,"|")</f>
        <v>Pyke</v>
      </c>
      <c r="M10" s="2" t="s">
        <v>60</v>
      </c>
      <c r="N10" s="3">
        <v>8000</v>
      </c>
      <c r="O10" s="3">
        <f t="shared" si="3"/>
        <v>8000</v>
      </c>
      <c r="P10" s="4">
        <v>14500</v>
      </c>
      <c r="Q10" s="5">
        <f t="shared" si="11"/>
        <v>14500</v>
      </c>
      <c r="R10" s="2" t="s">
        <v>29</v>
      </c>
      <c r="S10" s="2" t="str">
        <f t="shared" si="10"/>
        <v>Sim</v>
      </c>
      <c r="T10" s="2" t="str">
        <f t="shared" si="4"/>
        <v>Sim</v>
      </c>
      <c r="U10" s="2">
        <v>9</v>
      </c>
      <c r="V10" s="2">
        <f t="shared" si="5"/>
        <v>9</v>
      </c>
      <c r="W10" s="2" t="str">
        <f t="shared" si="6"/>
        <v>baixo</v>
      </c>
      <c r="X10" s="5">
        <v>17500</v>
      </c>
      <c r="Y10" t="str">
        <f t="shared" si="7"/>
        <v>Positivo</v>
      </c>
      <c r="Z10" t="str">
        <f t="shared" si="8"/>
        <v>Positivo</v>
      </c>
      <c r="AA10" s="1">
        <f>IF(AND(Y10="Negativo",Z10="Negativo"),0,IF(AND(B10="Ativo",OR(Y10="Positivo",Z10="Positivo")),X10*8%,0))</f>
        <v>1400</v>
      </c>
    </row>
    <row r="11" spans="1:27">
      <c r="A11" s="2" t="s">
        <v>30</v>
      </c>
      <c r="B11" s="2" t="str">
        <f t="shared" si="0"/>
        <v>Inativo</v>
      </c>
      <c r="C11" s="2" t="s">
        <v>61</v>
      </c>
      <c r="D11" s="2" t="str">
        <f t="shared" si="9"/>
        <v>Viserys Seaworth</v>
      </c>
      <c r="E11" s="2" t="s">
        <v>62</v>
      </c>
      <c r="F11" s="2" t="str">
        <f t="shared" si="1"/>
        <v>000.000.024-00</v>
      </c>
      <c r="G11" s="2">
        <v>61</v>
      </c>
      <c r="H11" s="2">
        <f ca="1">IF(G11="", DATEDIF(J11, TODAY(), "Y"), G11)</f>
        <v>61</v>
      </c>
      <c r="I11" s="6">
        <v>23667</v>
      </c>
      <c r="J11" s="6">
        <f t="shared" si="2"/>
        <v>23667</v>
      </c>
      <c r="K11" s="2" t="s">
        <v>63</v>
      </c>
      <c r="L11" s="2" t="str" cm="1">
        <f t="array" ref="L11">_xlfn.TEXTSPLIT(K11,"|")</f>
        <v>Meereen</v>
      </c>
      <c r="M11" s="2" t="s">
        <v>64</v>
      </c>
      <c r="N11" s="3">
        <v>23000</v>
      </c>
      <c r="O11" s="3">
        <f t="shared" si="3"/>
        <v>23000</v>
      </c>
      <c r="P11" s="4">
        <v>44500</v>
      </c>
      <c r="Q11" s="5">
        <f t="shared" si="11"/>
        <v>44500</v>
      </c>
      <c r="R11" s="2" t="s">
        <v>29</v>
      </c>
      <c r="S11" s="2" t="str">
        <f t="shared" si="10"/>
        <v>Sim</v>
      </c>
      <c r="T11" s="2" t="str">
        <f t="shared" si="4"/>
        <v>Sim</v>
      </c>
      <c r="U11" s="2">
        <v>32</v>
      </c>
      <c r="V11" s="2">
        <f t="shared" si="5"/>
        <v>32</v>
      </c>
      <c r="W11" s="2" t="str">
        <f t="shared" si="6"/>
        <v>alto</v>
      </c>
      <c r="X11" s="5">
        <v>2000</v>
      </c>
      <c r="Y11" t="str">
        <f t="shared" si="7"/>
        <v>Negativo</v>
      </c>
      <c r="Z11" t="str">
        <f t="shared" si="8"/>
        <v>Positivo</v>
      </c>
      <c r="AA11" s="1">
        <f>IF(AND(Y11="Negativo",Z11="Negativo"),0,IF(AND(B11="Ativo",OR(Y11="Positivo",Z11="Positivo")),X11*8%,0))</f>
        <v>0</v>
      </c>
    </row>
    <row r="12" spans="1:27">
      <c r="A12" s="2" t="s">
        <v>24</v>
      </c>
      <c r="B12" s="2" t="str">
        <f t="shared" si="0"/>
        <v>Ativo</v>
      </c>
      <c r="C12" s="2" t="s">
        <v>65</v>
      </c>
      <c r="D12" s="2" t="str">
        <f t="shared" si="9"/>
        <v>Tormund  Cerwyn</v>
      </c>
      <c r="E12" s="2" t="s">
        <v>66</v>
      </c>
      <c r="F12" s="2" t="str">
        <f t="shared" si="1"/>
        <v>000.000.039-00</v>
      </c>
      <c r="G12" s="2">
        <v>33</v>
      </c>
      <c r="H12" s="2">
        <f ca="1">IF(G12="", DATEDIF(J12, TODAY(), "Y"), G12)</f>
        <v>33</v>
      </c>
      <c r="I12" s="2">
        <v>34147</v>
      </c>
      <c r="J12" s="6">
        <f t="shared" si="2"/>
        <v>34147</v>
      </c>
      <c r="K12" s="2" t="s">
        <v>63</v>
      </c>
      <c r="L12" s="2" t="str" cm="1">
        <f t="array" ref="L12">_xlfn.TEXTSPLIT(K12,"|")</f>
        <v>Meereen</v>
      </c>
      <c r="M12" s="2" t="s">
        <v>64</v>
      </c>
      <c r="N12" s="3">
        <v>28700</v>
      </c>
      <c r="O12" s="3">
        <f t="shared" si="3"/>
        <v>28700</v>
      </c>
      <c r="P12" s="4">
        <v>12500</v>
      </c>
      <c r="Q12" s="5">
        <f t="shared" si="11"/>
        <v>12500</v>
      </c>
      <c r="R12" s="2" t="s">
        <v>46</v>
      </c>
      <c r="S12" s="2" t="str">
        <f t="shared" si="10"/>
        <v>Não</v>
      </c>
      <c r="T12" s="2" t="str">
        <f t="shared" si="4"/>
        <v>Não</v>
      </c>
      <c r="U12" s="2">
        <v>41</v>
      </c>
      <c r="V12" s="2">
        <f t="shared" si="5"/>
        <v>41</v>
      </c>
      <c r="W12" s="2" t="str">
        <f t="shared" si="6"/>
        <v>alto</v>
      </c>
      <c r="X12" s="5">
        <v>99500</v>
      </c>
      <c r="Y12" t="str">
        <f t="shared" si="7"/>
        <v>Positivo</v>
      </c>
      <c r="Z12" t="str">
        <f t="shared" si="8"/>
        <v>Positivo</v>
      </c>
      <c r="AA12" s="1">
        <f>IF(AND(Y12="Negativo",Z12="Negativo"),0,IF(AND(B12="Ativo",OR(Y12="Positivo",Z12="Positivo")),X12*8%,0))</f>
        <v>7960</v>
      </c>
    </row>
    <row r="13" spans="1:27">
      <c r="A13" s="2" t="s">
        <v>24</v>
      </c>
      <c r="B13" s="2" t="str">
        <f t="shared" si="0"/>
        <v>Ativo</v>
      </c>
      <c r="C13" s="2" t="s">
        <v>67</v>
      </c>
      <c r="D13" s="2" t="str">
        <f t="shared" si="9"/>
        <v>Catelyn Westerling</v>
      </c>
      <c r="E13" s="2">
        <v>35800</v>
      </c>
      <c r="F13" s="2" t="str">
        <f t="shared" si="1"/>
        <v>000.000.358-00</v>
      </c>
      <c r="G13" s="2">
        <v>70</v>
      </c>
      <c r="H13" s="2">
        <f ca="1">IF(G13="", DATEDIF(J13, TODAY(), "Y"), G13)</f>
        <v>70</v>
      </c>
      <c r="I13" s="2">
        <v>20515</v>
      </c>
      <c r="J13" s="6">
        <f t="shared" si="2"/>
        <v>20515</v>
      </c>
      <c r="K13" s="2" t="s">
        <v>68</v>
      </c>
      <c r="L13" s="2" t="str" cm="1">
        <f t="array" ref="L13">_xlfn.TEXTSPLIT(K13,"|")</f>
        <v>Braavos</v>
      </c>
      <c r="M13" s="2" t="s">
        <v>64</v>
      </c>
      <c r="N13" s="3">
        <v>19500</v>
      </c>
      <c r="O13" s="3">
        <f t="shared" si="3"/>
        <v>19500</v>
      </c>
      <c r="P13" s="4">
        <v>62000</v>
      </c>
      <c r="Q13" s="5">
        <f t="shared" si="11"/>
        <v>62000</v>
      </c>
      <c r="R13" s="2" t="s">
        <v>29</v>
      </c>
      <c r="S13" s="2" t="str">
        <f t="shared" si="10"/>
        <v>Sim</v>
      </c>
      <c r="T13" s="2" t="str">
        <f t="shared" si="4"/>
        <v>Sim</v>
      </c>
      <c r="U13" s="2">
        <v>45</v>
      </c>
      <c r="V13" s="2">
        <f t="shared" si="5"/>
        <v>45</v>
      </c>
      <c r="W13" s="2" t="str">
        <f t="shared" si="6"/>
        <v>alto</v>
      </c>
      <c r="X13" s="5">
        <v>35500</v>
      </c>
      <c r="Y13" t="str">
        <f t="shared" si="7"/>
        <v>Negativo</v>
      </c>
      <c r="Z13" t="str">
        <f t="shared" si="8"/>
        <v>Negativo</v>
      </c>
      <c r="AA13" s="1">
        <f>IF(AND(Y13="Negativo",Z13="Negativo"),0,IF(AND(B13="Ativo",OR(Y13="Positivo",Z13="Positivo")),X13*8%,0))</f>
        <v>0</v>
      </c>
    </row>
    <row r="14" spans="1:27">
      <c r="A14" s="2" t="s">
        <v>24</v>
      </c>
      <c r="B14" s="2" t="str">
        <f t="shared" si="0"/>
        <v>Ativo</v>
      </c>
      <c r="C14" s="2" t="s">
        <v>69</v>
      </c>
      <c r="D14" s="2" t="str">
        <f t="shared" si="9"/>
        <v>Robb Baratheon</v>
      </c>
      <c r="E14" s="2" t="s">
        <v>70</v>
      </c>
      <c r="F14" s="2" t="str">
        <f t="shared" si="1"/>
        <v>000.000.365-00</v>
      </c>
      <c r="G14" s="2">
        <v>54</v>
      </c>
      <c r="H14" s="2">
        <f ca="1">IF(G14="", DATEDIF(J14, TODAY(), "Y"), G14)</f>
        <v>54</v>
      </c>
      <c r="I14" s="6">
        <v>26382</v>
      </c>
      <c r="J14" s="6">
        <f t="shared" si="2"/>
        <v>26382</v>
      </c>
      <c r="K14" s="2" t="s">
        <v>32</v>
      </c>
      <c r="L14" s="2" t="str" cm="1">
        <f t="array" ref="L14">_xlfn.TEXTSPLIT(K14,"|")</f>
        <v>Ponta Tempestade</v>
      </c>
      <c r="M14" s="2" t="s">
        <v>33</v>
      </c>
      <c r="N14" s="3">
        <v>22100</v>
      </c>
      <c r="O14" s="3">
        <f t="shared" si="3"/>
        <v>22100</v>
      </c>
      <c r="P14" s="4">
        <v>37000</v>
      </c>
      <c r="Q14" s="5">
        <f t="shared" si="11"/>
        <v>37000</v>
      </c>
      <c r="R14" s="2" t="s">
        <v>46</v>
      </c>
      <c r="S14" s="2" t="str">
        <f t="shared" si="10"/>
        <v>Não</v>
      </c>
      <c r="T14" s="2" t="str">
        <f t="shared" si="4"/>
        <v>Não</v>
      </c>
      <c r="U14" s="2">
        <v>34</v>
      </c>
      <c r="V14" s="2">
        <f t="shared" si="5"/>
        <v>34</v>
      </c>
      <c r="W14" s="2" t="str">
        <f t="shared" si="6"/>
        <v>alto</v>
      </c>
      <c r="X14" s="5">
        <v>87000</v>
      </c>
      <c r="Y14" t="str">
        <f t="shared" si="7"/>
        <v>Positivo</v>
      </c>
      <c r="Z14" t="str">
        <f t="shared" si="8"/>
        <v>Positivo</v>
      </c>
      <c r="AA14" s="1">
        <f>IF(AND(Y14="Negativo",Z14="Negativo"),0,IF(AND(B14="Ativo",OR(Y14="Positivo",Z14="Positivo")),X14*8%,0))</f>
        <v>6960</v>
      </c>
    </row>
    <row r="15" spans="1:27">
      <c r="A15" s="2" t="s">
        <v>24</v>
      </c>
      <c r="B15" s="2" t="str">
        <f t="shared" si="0"/>
        <v>Ativo</v>
      </c>
      <c r="C15" s="2" t="s">
        <v>71</v>
      </c>
      <c r="D15" s="2" t="str">
        <f t="shared" si="9"/>
        <v>Asha Tallhart</v>
      </c>
      <c r="E15" s="2">
        <v>8600</v>
      </c>
      <c r="F15" s="2" t="str">
        <f t="shared" si="1"/>
        <v>000.000.086-00</v>
      </c>
      <c r="H15" s="2">
        <f ca="1">IF(G15="", DATEDIF(J15, TODAY(), "Y"), G15)</f>
        <v>38</v>
      </c>
      <c r="I15" s="2">
        <v>32260</v>
      </c>
      <c r="J15" s="6">
        <f t="shared" si="2"/>
        <v>32260</v>
      </c>
      <c r="K15" s="2" t="s">
        <v>56</v>
      </c>
      <c r="L15" s="2" t="str" cm="1">
        <f t="array" ref="L15">_xlfn.TEXTSPLIT(K15,"|")</f>
        <v>Pyke</v>
      </c>
      <c r="M15" s="2" t="s">
        <v>72</v>
      </c>
      <c r="N15" s="3">
        <v>17600</v>
      </c>
      <c r="O15" s="3">
        <f t="shared" si="3"/>
        <v>17600</v>
      </c>
      <c r="P15" s="4">
        <v>0</v>
      </c>
      <c r="Q15" s="5">
        <f t="shared" si="11"/>
        <v>0</v>
      </c>
      <c r="R15" s="2" t="s">
        <v>29</v>
      </c>
      <c r="S15" s="2" t="str">
        <f t="shared" si="10"/>
        <v>Sim</v>
      </c>
      <c r="T15" s="2" t="str">
        <f t="shared" si="4"/>
        <v>Sim</v>
      </c>
      <c r="U15" s="2">
        <v>31</v>
      </c>
      <c r="V15" s="2">
        <f t="shared" si="5"/>
        <v>31</v>
      </c>
      <c r="W15" s="2" t="str">
        <f t="shared" si="6"/>
        <v>alto</v>
      </c>
      <c r="X15" s="5">
        <v>47500</v>
      </c>
      <c r="Y15" t="str">
        <f t="shared" si="7"/>
        <v>Negativo</v>
      </c>
      <c r="Z15" t="str">
        <f t="shared" si="8"/>
        <v>Positivo</v>
      </c>
      <c r="AA15" s="1">
        <f>IF(AND(Y15="Negativo",Z15="Negativo"),0,IF(AND(B15="Ativo",OR(Y15="Positivo",Z15="Positivo")),X15*8%,0))</f>
        <v>3800</v>
      </c>
    </row>
    <row r="16" spans="1:27">
      <c r="A16" s="2" t="s">
        <v>30</v>
      </c>
      <c r="B16" s="2" t="str">
        <f t="shared" si="0"/>
        <v>Inativo</v>
      </c>
      <c r="C16" s="2" t="s">
        <v>73</v>
      </c>
      <c r="D16" s="2" t="str">
        <f t="shared" si="9"/>
        <v>Missandei Tarly</v>
      </c>
      <c r="E16" s="2">
        <v>200</v>
      </c>
      <c r="F16" s="2" t="str">
        <f t="shared" si="1"/>
        <v>000.000.002-00</v>
      </c>
      <c r="G16" s="2">
        <v>55</v>
      </c>
      <c r="H16" s="2">
        <f ca="1">IF(G16="", DATEDIF(J16, TODAY(), "Y"), G16)</f>
        <v>55</v>
      </c>
      <c r="I16" s="2">
        <v>25892</v>
      </c>
      <c r="J16" s="6">
        <f t="shared" si="2"/>
        <v>25892</v>
      </c>
      <c r="K16" s="2" t="s">
        <v>32</v>
      </c>
      <c r="L16" s="2" t="str" cm="1">
        <f t="array" ref="L16">_xlfn.TEXTSPLIT(K16,"|")</f>
        <v>Ponta Tempestade</v>
      </c>
      <c r="M16" s="2" t="s">
        <v>74</v>
      </c>
      <c r="N16" s="3">
        <v>5300</v>
      </c>
      <c r="O16" s="3">
        <f t="shared" si="3"/>
        <v>5300</v>
      </c>
      <c r="P16" s="4">
        <v>6500</v>
      </c>
      <c r="Q16" s="5">
        <f t="shared" si="11"/>
        <v>6500</v>
      </c>
      <c r="R16" s="2" t="s">
        <v>46</v>
      </c>
      <c r="S16" s="2" t="str">
        <f t="shared" si="10"/>
        <v>Não</v>
      </c>
      <c r="T16" s="2" t="str">
        <f t="shared" si="4"/>
        <v>Não</v>
      </c>
      <c r="U16" s="2">
        <v>42</v>
      </c>
      <c r="V16" s="2">
        <f t="shared" si="5"/>
        <v>42</v>
      </c>
      <c r="W16" s="2" t="str">
        <f t="shared" si="6"/>
        <v>alto</v>
      </c>
      <c r="X16" s="5">
        <v>96000</v>
      </c>
      <c r="Y16" t="str">
        <f t="shared" si="7"/>
        <v>Positivo</v>
      </c>
      <c r="Z16" t="str">
        <f t="shared" si="8"/>
        <v>Positivo</v>
      </c>
      <c r="AA16" s="1">
        <f>IF(AND(Y16="Negativo",Z16="Negativo"),0,IF(AND(B16="Ativo",OR(Y16="Positivo",Z16="Positivo")),X16*8%,0))</f>
        <v>0</v>
      </c>
    </row>
    <row r="17" spans="1:27">
      <c r="A17" s="2" t="s">
        <v>30</v>
      </c>
      <c r="B17" s="2" t="str">
        <f t="shared" si="0"/>
        <v>Inativo</v>
      </c>
      <c r="C17" s="2" t="s">
        <v>75</v>
      </c>
      <c r="D17" s="2" t="str">
        <f t="shared" si="9"/>
        <v>Jeor Mallister</v>
      </c>
      <c r="E17" s="2" t="s">
        <v>76</v>
      </c>
      <c r="F17" s="2" t="str">
        <f t="shared" si="1"/>
        <v>000.000.162-00</v>
      </c>
      <c r="G17" s="2">
        <v>47</v>
      </c>
      <c r="H17" s="2">
        <f ca="1">IF(G17="", DATEDIF(J17, TODAY(), "Y"), G17)</f>
        <v>47</v>
      </c>
      <c r="I17" s="2">
        <v>29064</v>
      </c>
      <c r="J17" s="6">
        <f t="shared" si="2"/>
        <v>29064</v>
      </c>
      <c r="K17" s="2" t="s">
        <v>77</v>
      </c>
      <c r="L17" s="2" t="str" cm="1">
        <f t="array" ref="L17">_xlfn.TEXTSPLIT(K17,"|")</f>
        <v>Correrrio</v>
      </c>
      <c r="M17" s="2" t="s">
        <v>78</v>
      </c>
      <c r="N17" s="3">
        <v>13300</v>
      </c>
      <c r="O17" s="3">
        <f t="shared" si="3"/>
        <v>13300</v>
      </c>
      <c r="P17" s="4">
        <v>1000</v>
      </c>
      <c r="Q17" s="5">
        <f t="shared" si="11"/>
        <v>1000</v>
      </c>
      <c r="R17" s="2" t="s">
        <v>29</v>
      </c>
      <c r="S17" s="2" t="str">
        <f t="shared" si="10"/>
        <v>Sim</v>
      </c>
      <c r="T17" s="2" t="str">
        <f t="shared" si="4"/>
        <v>Sim</v>
      </c>
      <c r="U17" s="2">
        <v>24</v>
      </c>
      <c r="V17" s="2">
        <f t="shared" si="5"/>
        <v>24</v>
      </c>
      <c r="W17" s="2" t="str">
        <f t="shared" si="6"/>
        <v>médio</v>
      </c>
      <c r="X17" s="5">
        <v>61500</v>
      </c>
      <c r="Y17" t="str">
        <f t="shared" si="7"/>
        <v>Positivo</v>
      </c>
      <c r="Z17" t="str">
        <f t="shared" si="8"/>
        <v>Positivo</v>
      </c>
      <c r="AA17" s="1">
        <f>IF(AND(Y17="Negativo",Z17="Negativo"),0,IF(AND(B17="Ativo",OR(Y17="Positivo",Z17="Positivo")),X17*8%,0))</f>
        <v>0</v>
      </c>
    </row>
    <row r="18" spans="1:27">
      <c r="A18" s="2" t="s">
        <v>30</v>
      </c>
      <c r="B18" s="2" t="str">
        <f t="shared" si="0"/>
        <v>Inativo</v>
      </c>
      <c r="C18" s="2" t="s">
        <v>79</v>
      </c>
      <c r="D18" s="2" t="str">
        <f t="shared" si="9"/>
        <v>Eddard Crakehall</v>
      </c>
      <c r="E18" s="2">
        <v>31800</v>
      </c>
      <c r="F18" s="2" t="str">
        <f t="shared" si="1"/>
        <v>000.000.318-00</v>
      </c>
      <c r="G18" s="2">
        <v>43</v>
      </c>
      <c r="H18" s="2">
        <f ca="1">IF(G18="", DATEDIF(J18, TODAY(), "Y"), G18)</f>
        <v>43</v>
      </c>
      <c r="I18" s="2">
        <v>30391</v>
      </c>
      <c r="J18" s="6">
        <f t="shared" si="2"/>
        <v>30391</v>
      </c>
      <c r="K18" s="2" t="s">
        <v>80</v>
      </c>
      <c r="L18" s="2" t="str" cm="1">
        <f t="array" ref="L18">_xlfn.TEXTSPLIT(K18,"|")</f>
        <v>Castelo Negro</v>
      </c>
      <c r="M18" s="2" t="s">
        <v>81</v>
      </c>
      <c r="N18" s="3">
        <v>7100</v>
      </c>
      <c r="O18" s="3">
        <f t="shared" si="3"/>
        <v>7100</v>
      </c>
      <c r="P18" s="4">
        <v>5500</v>
      </c>
      <c r="Q18" s="5">
        <f t="shared" si="11"/>
        <v>5500</v>
      </c>
      <c r="R18" s="2" t="s">
        <v>46</v>
      </c>
      <c r="S18" s="2" t="str">
        <f t="shared" si="10"/>
        <v>Não</v>
      </c>
      <c r="T18" s="2" t="str">
        <f t="shared" si="4"/>
        <v>Não</v>
      </c>
      <c r="U18" s="2">
        <v>23</v>
      </c>
      <c r="V18" s="2">
        <f t="shared" si="5"/>
        <v>23</v>
      </c>
      <c r="W18" s="2" t="str">
        <f t="shared" si="6"/>
        <v>médio</v>
      </c>
      <c r="X18" s="5">
        <v>67000</v>
      </c>
      <c r="Y18" t="str">
        <f t="shared" si="7"/>
        <v>Positivo</v>
      </c>
      <c r="Z18" t="str">
        <f t="shared" si="8"/>
        <v>Positivo</v>
      </c>
      <c r="AA18" s="1">
        <f>IF(AND(Y18="Negativo",Z18="Negativo"),0,IF(AND(B18="Ativo",OR(Y18="Positivo",Z18="Positivo")),X18*8%,0))</f>
        <v>0</v>
      </c>
    </row>
    <row r="19" spans="1:27">
      <c r="A19" s="2" t="s">
        <v>24</v>
      </c>
      <c r="B19" s="2" t="str">
        <f t="shared" si="0"/>
        <v>Ativo</v>
      </c>
      <c r="C19" s="2" t="s">
        <v>82</v>
      </c>
      <c r="D19" s="2" t="str">
        <f t="shared" si="9"/>
        <v>Podrick Swyft</v>
      </c>
      <c r="E19" s="2" t="s">
        <v>83</v>
      </c>
      <c r="F19" s="2" t="str">
        <f t="shared" si="1"/>
        <v>000.000.090-00</v>
      </c>
      <c r="G19" s="2">
        <v>32</v>
      </c>
      <c r="H19" s="2">
        <f ca="1">IF(G19="", DATEDIF(J19, TODAY(), "Y"), G19)</f>
        <v>32</v>
      </c>
      <c r="I19" s="6">
        <v>34457</v>
      </c>
      <c r="J19" s="6">
        <f t="shared" si="2"/>
        <v>34457</v>
      </c>
      <c r="K19" s="2" t="s">
        <v>77</v>
      </c>
      <c r="L19" s="2" t="str" cm="1">
        <f t="array" ref="L19">_xlfn.TEXTSPLIT(K19,"|")</f>
        <v>Correrrio</v>
      </c>
      <c r="M19" s="2" t="s">
        <v>84</v>
      </c>
      <c r="N19" s="3">
        <v>21300</v>
      </c>
      <c r="O19" s="3">
        <f t="shared" si="3"/>
        <v>21300</v>
      </c>
      <c r="P19" s="4">
        <v>48000</v>
      </c>
      <c r="Q19" s="5">
        <f t="shared" si="11"/>
        <v>48000</v>
      </c>
      <c r="R19" s="2" t="s">
        <v>46</v>
      </c>
      <c r="S19" s="2" t="str">
        <f t="shared" si="10"/>
        <v>Não</v>
      </c>
      <c r="T19" s="2" t="str">
        <f t="shared" si="4"/>
        <v>Não</v>
      </c>
      <c r="U19" s="2">
        <v>11</v>
      </c>
      <c r="V19" s="2">
        <f t="shared" si="5"/>
        <v>11</v>
      </c>
      <c r="W19" s="2" t="str">
        <f t="shared" si="6"/>
        <v>médio</v>
      </c>
      <c r="X19" s="5">
        <v>35000</v>
      </c>
      <c r="Y19" t="str">
        <f t="shared" si="7"/>
        <v>Positivo</v>
      </c>
      <c r="Z19" t="str">
        <f t="shared" si="8"/>
        <v>Positivo</v>
      </c>
      <c r="AA19" s="1">
        <f>IF(AND(Y19="Negativo",Z19="Negativo"),0,IF(AND(B19="Ativo",OR(Y19="Positivo",Z19="Positivo")),X19*8%,0))</f>
        <v>2800</v>
      </c>
    </row>
    <row r="20" spans="1:27">
      <c r="A20" s="2" t="s">
        <v>24</v>
      </c>
      <c r="B20" s="2" t="str">
        <f t="shared" si="0"/>
        <v>Ativo</v>
      </c>
      <c r="C20" s="2" t="s">
        <v>85</v>
      </c>
      <c r="D20" s="2" t="str">
        <f t="shared" si="9"/>
        <v>Podrick Dayne</v>
      </c>
      <c r="E20" s="2">
        <v>22300</v>
      </c>
      <c r="F20" s="2" t="str">
        <f t="shared" si="1"/>
        <v>000.000.223-00</v>
      </c>
      <c r="G20" s="2">
        <v>25</v>
      </c>
      <c r="H20" s="2">
        <f ca="1">IF(G20="", DATEDIF(J20, TODAY(), "Y"), G20)</f>
        <v>25</v>
      </c>
      <c r="I20" s="6">
        <v>36831</v>
      </c>
      <c r="J20" s="6">
        <f t="shared" si="2"/>
        <v>36831</v>
      </c>
      <c r="K20" s="2" t="s">
        <v>86</v>
      </c>
      <c r="L20" s="2" t="str" cm="1">
        <f t="array" ref="L20">_xlfn.TEXTSPLIT(K20,"|")</f>
        <v>Vilavelha</v>
      </c>
      <c r="M20" s="2" t="s">
        <v>87</v>
      </c>
      <c r="N20" s="3">
        <v>9400</v>
      </c>
      <c r="O20" s="3">
        <f t="shared" si="3"/>
        <v>9400</v>
      </c>
      <c r="P20" s="4">
        <v>51500</v>
      </c>
      <c r="Q20" s="5">
        <f t="shared" si="11"/>
        <v>51500</v>
      </c>
      <c r="R20" s="2" t="s">
        <v>46</v>
      </c>
      <c r="S20" s="2" t="str">
        <f t="shared" si="10"/>
        <v>Não</v>
      </c>
      <c r="T20" s="2" t="str">
        <f t="shared" si="4"/>
        <v>Não</v>
      </c>
      <c r="U20" s="2">
        <v>14</v>
      </c>
      <c r="V20" s="2">
        <f t="shared" si="5"/>
        <v>14</v>
      </c>
      <c r="W20" s="2" t="str">
        <f t="shared" si="6"/>
        <v>médio</v>
      </c>
      <c r="X20" s="5">
        <v>29500</v>
      </c>
      <c r="Y20" t="str">
        <f t="shared" si="7"/>
        <v>Positivo</v>
      </c>
      <c r="Z20" t="str">
        <f t="shared" si="8"/>
        <v>Positivo</v>
      </c>
      <c r="AA20" s="1">
        <f>IF(AND(Y20="Negativo",Z20="Negativo"),0,IF(AND(B20="Ativo",OR(Y20="Positivo",Z20="Positivo")),X20*8%,0))</f>
        <v>2360</v>
      </c>
    </row>
    <row r="21" spans="1:27">
      <c r="A21" s="2" t="s">
        <v>24</v>
      </c>
      <c r="B21" s="2" t="str">
        <f t="shared" si="0"/>
        <v>Ativo</v>
      </c>
      <c r="C21" s="2" t="s">
        <v>88</v>
      </c>
      <c r="D21" s="2" t="str">
        <f t="shared" si="9"/>
        <v>Ellaria Seaworth</v>
      </c>
      <c r="E21" s="2" t="s">
        <v>89</v>
      </c>
      <c r="F21" s="2" t="str">
        <f t="shared" si="1"/>
        <v>000.000.125-00</v>
      </c>
      <c r="G21" s="2">
        <v>23</v>
      </c>
      <c r="H21" s="2">
        <f ca="1">IF(G21="", DATEDIF(J21, TODAY(), "Y"), G21)</f>
        <v>23</v>
      </c>
      <c r="I21" s="2">
        <v>37627</v>
      </c>
      <c r="J21" s="6">
        <f t="shared" si="2"/>
        <v>37627</v>
      </c>
      <c r="K21" s="2" t="s">
        <v>77</v>
      </c>
      <c r="L21" s="2" t="str" cm="1">
        <f t="array" ref="L21">_xlfn.TEXTSPLIT(K21,"|")</f>
        <v>Correrrio</v>
      </c>
      <c r="M21" s="2" t="s">
        <v>84</v>
      </c>
      <c r="O21" s="3" t="str">
        <f t="shared" si="3"/>
        <v/>
      </c>
      <c r="P21" s="4">
        <v>69000</v>
      </c>
      <c r="Q21" s="5">
        <f t="shared" si="11"/>
        <v>69000</v>
      </c>
      <c r="R21" s="2" t="s">
        <v>46</v>
      </c>
      <c r="S21" s="2" t="str">
        <f t="shared" si="10"/>
        <v>Não</v>
      </c>
      <c r="T21" s="2" t="str">
        <f t="shared" si="4"/>
        <v>Não</v>
      </c>
      <c r="U21" s="2">
        <v>20</v>
      </c>
      <c r="V21" s="2">
        <f t="shared" si="5"/>
        <v>20</v>
      </c>
      <c r="W21" s="2" t="str">
        <f t="shared" si="6"/>
        <v>médio</v>
      </c>
      <c r="X21" s="5">
        <v>69000</v>
      </c>
      <c r="Y21" t="str">
        <f t="shared" si="7"/>
        <v>Positivo</v>
      </c>
      <c r="Z21" t="str">
        <f t="shared" si="8"/>
        <v>Positivo</v>
      </c>
      <c r="AA21" s="1">
        <f>IF(AND(Y21="Negativo",Z21="Negativo"),0,IF(AND(B21="Ativo",OR(Y21="Positivo",Z21="Positivo")),X21*8%,0))</f>
        <v>5520</v>
      </c>
    </row>
    <row r="22" spans="1:27">
      <c r="A22" s="2" t="s">
        <v>30</v>
      </c>
      <c r="B22" s="2" t="str">
        <f t="shared" si="0"/>
        <v>Inativo</v>
      </c>
      <c r="C22" s="2" t="s">
        <v>90</v>
      </c>
      <c r="D22" s="2" t="str">
        <f t="shared" si="9"/>
        <v>Melisandre Clegane</v>
      </c>
      <c r="E22" s="2" t="s">
        <v>91</v>
      </c>
      <c r="F22" s="2" t="str">
        <f t="shared" si="1"/>
        <v>000.000.231-00</v>
      </c>
      <c r="G22" s="2">
        <v>53</v>
      </c>
      <c r="H22" s="2">
        <f ca="1">IF(G22="", DATEDIF(J22, TODAY(), "Y"), G22)</f>
        <v>53</v>
      </c>
      <c r="I22" s="6">
        <v>26629</v>
      </c>
      <c r="J22" s="6">
        <f t="shared" si="2"/>
        <v>26629</v>
      </c>
      <c r="K22" s="2" t="s">
        <v>92</v>
      </c>
      <c r="L22" s="2" t="str" cm="1">
        <f t="array" ref="L22">_xlfn.TEXTSPLIT(K22,"|")</f>
        <v>Ilha dos Ursos</v>
      </c>
      <c r="M22" s="2" t="s">
        <v>93</v>
      </c>
      <c r="N22" s="3">
        <v>16500</v>
      </c>
      <c r="O22" s="3">
        <f t="shared" si="3"/>
        <v>16500</v>
      </c>
      <c r="P22" s="4">
        <v>4000</v>
      </c>
      <c r="Q22" s="5">
        <f t="shared" si="11"/>
        <v>4000</v>
      </c>
      <c r="R22" s="2" t="s">
        <v>46</v>
      </c>
      <c r="S22" s="2" t="str">
        <f t="shared" si="10"/>
        <v>Não</v>
      </c>
      <c r="T22" s="2" t="str">
        <f t="shared" si="4"/>
        <v>Não</v>
      </c>
      <c r="U22" s="2">
        <v>14</v>
      </c>
      <c r="V22" s="2">
        <f t="shared" si="5"/>
        <v>14</v>
      </c>
      <c r="W22" s="2" t="str">
        <f t="shared" si="6"/>
        <v>médio</v>
      </c>
      <c r="X22" s="5">
        <v>36000</v>
      </c>
      <c r="Y22" t="str">
        <f t="shared" si="7"/>
        <v>Positivo</v>
      </c>
      <c r="Z22" t="str">
        <f t="shared" si="8"/>
        <v>Positivo</v>
      </c>
      <c r="AA22" s="1">
        <f>IF(AND(Y22="Negativo",Z22="Negativo"),0,IF(AND(B22="Ativo",OR(Y22="Positivo",Z22="Positivo")),X22*8%,0))</f>
        <v>0</v>
      </c>
    </row>
    <row r="23" spans="1:27">
      <c r="A23" s="2" t="s">
        <v>24</v>
      </c>
      <c r="B23" s="2" t="str">
        <f t="shared" si="0"/>
        <v>Ativo</v>
      </c>
      <c r="C23" s="2" t="s">
        <v>94</v>
      </c>
      <c r="D23" s="2" t="str">
        <f t="shared" si="9"/>
        <v>Robert Karstark</v>
      </c>
      <c r="E23" s="2" t="s">
        <v>95</v>
      </c>
      <c r="F23" s="2" t="str">
        <f t="shared" si="1"/>
        <v>000.000.184-00</v>
      </c>
      <c r="H23" s="2">
        <f ca="1">IF(G23="", DATEDIF(J23, TODAY(), "Y"), G23)</f>
        <v>68</v>
      </c>
      <c r="I23" s="2">
        <v>21378</v>
      </c>
      <c r="J23" s="6">
        <f t="shared" si="2"/>
        <v>21378</v>
      </c>
      <c r="K23" s="2" t="s">
        <v>63</v>
      </c>
      <c r="L23" s="2" t="str" cm="1">
        <f t="array" ref="L23">_xlfn.TEXTSPLIT(K23,"|")</f>
        <v>Meereen</v>
      </c>
      <c r="N23" s="3">
        <v>14300</v>
      </c>
      <c r="O23" s="3">
        <f t="shared" si="3"/>
        <v>14300</v>
      </c>
      <c r="P23" s="4">
        <v>32500</v>
      </c>
      <c r="Q23" s="5">
        <f t="shared" si="11"/>
        <v>32500</v>
      </c>
      <c r="R23" s="2" t="s">
        <v>29</v>
      </c>
      <c r="S23" s="2" t="str">
        <f t="shared" si="10"/>
        <v>Sim</v>
      </c>
      <c r="T23" s="2" t="str">
        <f t="shared" si="4"/>
        <v>Sim</v>
      </c>
      <c r="U23" s="2">
        <v>15</v>
      </c>
      <c r="V23" s="2">
        <f t="shared" si="5"/>
        <v>15</v>
      </c>
      <c r="W23" s="2" t="str">
        <f t="shared" si="6"/>
        <v>médio</v>
      </c>
      <c r="X23" s="5">
        <v>8000</v>
      </c>
      <c r="Y23" t="str">
        <f t="shared" si="7"/>
        <v>Positivo</v>
      </c>
      <c r="Z23" t="str">
        <f t="shared" si="8"/>
        <v>Positivo</v>
      </c>
      <c r="AA23" s="1">
        <f>IF(AND(Y23="Negativo",Z23="Negativo"),0,IF(AND(B23="Ativo",OR(Y23="Positivo",Z23="Positivo")),X23*8%,0))</f>
        <v>640</v>
      </c>
    </row>
    <row r="24" spans="1:27">
      <c r="A24" s="2" t="s">
        <v>30</v>
      </c>
      <c r="B24" s="2" t="str">
        <f t="shared" si="0"/>
        <v>Inativo</v>
      </c>
      <c r="C24" s="2" t="s">
        <v>96</v>
      </c>
      <c r="D24" s="2" t="str">
        <f t="shared" si="9"/>
        <v>Rhaegar Stark</v>
      </c>
      <c r="E24" s="2" t="s">
        <v>97</v>
      </c>
      <c r="F24" s="2" t="str">
        <f t="shared" si="1"/>
        <v>000.000.119-00</v>
      </c>
      <c r="G24" s="2">
        <v>33</v>
      </c>
      <c r="H24" s="2">
        <f ca="1">IF(G24="", DATEDIF(J24, TODAY(), "Y"), G24)</f>
        <v>33</v>
      </c>
      <c r="I24" s="6">
        <v>34082</v>
      </c>
      <c r="J24" s="6">
        <f t="shared" si="2"/>
        <v>34082</v>
      </c>
      <c r="K24" s="2" t="s">
        <v>63</v>
      </c>
      <c r="L24" s="2" t="str" cm="1">
        <f t="array" ref="L24">_xlfn.TEXTSPLIT(K24,"|")</f>
        <v>Meereen</v>
      </c>
      <c r="M24" s="2" t="s">
        <v>64</v>
      </c>
      <c r="N24" s="3">
        <v>23600</v>
      </c>
      <c r="O24" s="3">
        <f t="shared" si="3"/>
        <v>23600</v>
      </c>
      <c r="P24" s="4">
        <v>75500</v>
      </c>
      <c r="Q24" s="5">
        <f t="shared" si="11"/>
        <v>75500</v>
      </c>
      <c r="R24" s="2" t="s">
        <v>46</v>
      </c>
      <c r="S24" s="2" t="str">
        <f t="shared" si="10"/>
        <v>Não</v>
      </c>
      <c r="T24" s="2" t="str">
        <f t="shared" si="4"/>
        <v>Não</v>
      </c>
      <c r="U24" s="2">
        <v>16</v>
      </c>
      <c r="V24" s="2">
        <f t="shared" si="5"/>
        <v>16</v>
      </c>
      <c r="W24" s="2" t="str">
        <f t="shared" si="6"/>
        <v>médio</v>
      </c>
      <c r="X24" s="5">
        <v>88000</v>
      </c>
      <c r="Y24" t="str">
        <f t="shared" si="7"/>
        <v>Positivo</v>
      </c>
      <c r="Z24" t="str">
        <f t="shared" si="8"/>
        <v>Positivo</v>
      </c>
      <c r="AA24" s="1">
        <f>IF(AND(Y24="Negativo",Z24="Negativo"),0,IF(AND(B24="Ativo",OR(Y24="Positivo",Z24="Positivo")),X24*8%,0))</f>
        <v>0</v>
      </c>
    </row>
    <row r="25" spans="1:27">
      <c r="A25" s="2" t="s">
        <v>24</v>
      </c>
      <c r="B25" s="2" t="str">
        <f t="shared" si="0"/>
        <v>Ativo</v>
      </c>
      <c r="C25" s="2" t="s">
        <v>98</v>
      </c>
      <c r="D25" s="2" t="str">
        <f t="shared" si="9"/>
        <v>Loras Greyjoy</v>
      </c>
      <c r="E25" s="2" t="s">
        <v>99</v>
      </c>
      <c r="F25" s="2" t="str">
        <f t="shared" si="1"/>
        <v>000.000.362-00</v>
      </c>
      <c r="G25" s="2">
        <v>68</v>
      </c>
      <c r="H25" s="2">
        <f ca="1">IF(G25="", DATEDIF(J25, TODAY(), "Y"), G25)</f>
        <v>68</v>
      </c>
      <c r="I25" s="2">
        <v>21145</v>
      </c>
      <c r="J25" s="6">
        <f t="shared" si="2"/>
        <v>21145</v>
      </c>
      <c r="K25" s="2" t="s">
        <v>100</v>
      </c>
      <c r="L25" s="2" t="str" cm="1">
        <f t="array" ref="L25">_xlfn.TEXTSPLIT(K25,"|")</f>
        <v>Fosso Cailin</v>
      </c>
      <c r="M25" s="2" t="s">
        <v>81</v>
      </c>
      <c r="N25" s="3">
        <v>29000</v>
      </c>
      <c r="O25" s="3">
        <f t="shared" si="3"/>
        <v>29000</v>
      </c>
      <c r="P25" s="4">
        <v>67500</v>
      </c>
      <c r="Q25" s="5">
        <f t="shared" si="11"/>
        <v>67500</v>
      </c>
      <c r="R25" s="2" t="s">
        <v>46</v>
      </c>
      <c r="S25" s="2" t="str">
        <f t="shared" si="10"/>
        <v>Não</v>
      </c>
      <c r="T25" s="2" t="str">
        <f t="shared" si="4"/>
        <v>Não</v>
      </c>
      <c r="U25" s="2">
        <v>25</v>
      </c>
      <c r="V25" s="2">
        <f t="shared" si="5"/>
        <v>25</v>
      </c>
      <c r="W25" s="2" t="str">
        <f t="shared" si="6"/>
        <v>médio</v>
      </c>
      <c r="X25" s="5">
        <v>18000</v>
      </c>
      <c r="Y25" t="str">
        <f t="shared" si="7"/>
        <v>Positivo</v>
      </c>
      <c r="Z25" t="str">
        <f t="shared" si="8"/>
        <v>Positivo</v>
      </c>
      <c r="AA25" s="1">
        <f>IF(AND(Y25="Negativo",Z25="Negativo"),0,IF(AND(B25="Ativo",OR(Y25="Positivo",Z25="Positivo")),X25*8%,0))</f>
        <v>1440</v>
      </c>
    </row>
    <row r="26" spans="1:27">
      <c r="A26" s="2" t="s">
        <v>30</v>
      </c>
      <c r="B26" s="2" t="str">
        <f t="shared" si="0"/>
        <v>Inativo</v>
      </c>
      <c r="C26" s="2" t="s">
        <v>101</v>
      </c>
      <c r="D26" s="2" t="str">
        <f t="shared" si="9"/>
        <v>Jorah Hightower</v>
      </c>
      <c r="E26" s="2" t="s">
        <v>102</v>
      </c>
      <c r="F26" s="2" t="str">
        <f t="shared" si="1"/>
        <v>000.000.346-00</v>
      </c>
      <c r="G26" s="2">
        <v>62</v>
      </c>
      <c r="H26" s="2">
        <f ca="1">IF(G26="", DATEDIF(J26, TODAY(), "Y"), G26)</f>
        <v>62</v>
      </c>
      <c r="I26" s="6">
        <v>23259</v>
      </c>
      <c r="J26" s="6">
        <f t="shared" si="2"/>
        <v>23259</v>
      </c>
      <c r="K26" s="2" t="s">
        <v>36</v>
      </c>
      <c r="L26" s="2" t="str" cm="1">
        <f t="array" ref="L26">_xlfn.TEXTSPLIT(K26,"|")</f>
        <v>Pedra do Dragão</v>
      </c>
      <c r="M26" s="2" t="s">
        <v>103</v>
      </c>
      <c r="O26" s="3" t="str">
        <f t="shared" si="3"/>
        <v/>
      </c>
      <c r="P26" s="4">
        <v>0</v>
      </c>
      <c r="Q26" s="5">
        <f t="shared" si="11"/>
        <v>0</v>
      </c>
      <c r="R26" s="2" t="s">
        <v>29</v>
      </c>
      <c r="S26" s="2" t="str">
        <f t="shared" si="10"/>
        <v>Sim</v>
      </c>
      <c r="T26" s="2" t="str">
        <f t="shared" si="4"/>
        <v>Sim</v>
      </c>
      <c r="U26" s="2">
        <v>1</v>
      </c>
      <c r="V26" s="2">
        <f t="shared" si="5"/>
        <v>1</v>
      </c>
      <c r="W26" s="2" t="str">
        <f t="shared" si="6"/>
        <v>baixo</v>
      </c>
      <c r="X26" s="5">
        <v>12000</v>
      </c>
      <c r="Y26" t="str">
        <f t="shared" si="7"/>
        <v>Positivo</v>
      </c>
      <c r="Z26" t="str">
        <f t="shared" si="8"/>
        <v>Positivo</v>
      </c>
      <c r="AA26" s="1">
        <f>IF(AND(Y26="Negativo",Z26="Negativo"),0,IF(AND(B26="Ativo",OR(Y26="Positivo",Z26="Positivo")),X26*8%,0))</f>
        <v>0</v>
      </c>
    </row>
    <row r="27" spans="1:27">
      <c r="A27" s="2" t="s">
        <v>24</v>
      </c>
      <c r="B27" s="2" t="str">
        <f t="shared" si="0"/>
        <v>Ativo</v>
      </c>
      <c r="C27" s="2" t="s">
        <v>104</v>
      </c>
      <c r="D27" s="2" t="str">
        <f t="shared" si="9"/>
        <v>Loras Clegane</v>
      </c>
      <c r="E27" s="2" t="s">
        <v>105</v>
      </c>
      <c r="F27" s="2" t="str">
        <f t="shared" si="1"/>
        <v>000.000.287-00</v>
      </c>
      <c r="G27" s="2">
        <v>58</v>
      </c>
      <c r="H27" s="2">
        <f ca="1">IF(G27="", DATEDIF(J27, TODAY(), "Y"), G27)</f>
        <v>58</v>
      </c>
      <c r="I27" s="2">
        <v>24911</v>
      </c>
      <c r="J27" s="6">
        <f t="shared" si="2"/>
        <v>24911</v>
      </c>
      <c r="K27" s="2" t="s">
        <v>106</v>
      </c>
      <c r="L27" s="2" t="str" cm="1">
        <f t="array" ref="L27">_xlfn.TEXTSPLIT(K27,"|")</f>
        <v>Harrenhal</v>
      </c>
      <c r="M27" s="2" t="s">
        <v>78</v>
      </c>
      <c r="N27" s="3">
        <v>25400</v>
      </c>
      <c r="O27" s="3">
        <f t="shared" si="3"/>
        <v>25400</v>
      </c>
      <c r="P27" s="4">
        <v>70500</v>
      </c>
      <c r="Q27" s="5">
        <f t="shared" si="11"/>
        <v>70500</v>
      </c>
      <c r="R27" s="2" t="s">
        <v>29</v>
      </c>
      <c r="S27" s="2" t="str">
        <f t="shared" si="10"/>
        <v>Sim</v>
      </c>
      <c r="T27" s="2" t="str">
        <f t="shared" si="4"/>
        <v>Sim</v>
      </c>
      <c r="U27" s="2">
        <v>11</v>
      </c>
      <c r="V27" s="2">
        <f t="shared" si="5"/>
        <v>11</v>
      </c>
      <c r="W27" s="2" t="str">
        <f t="shared" si="6"/>
        <v>médio</v>
      </c>
      <c r="X27" s="5">
        <v>47000</v>
      </c>
      <c r="Y27" t="str">
        <f t="shared" si="7"/>
        <v>Positivo</v>
      </c>
      <c r="Z27" t="str">
        <f t="shared" si="8"/>
        <v>Negativo</v>
      </c>
      <c r="AA27" s="1">
        <f>IF(AND(Y27="Negativo",Z27="Negativo"),0,IF(AND(B27="Ativo",OR(Y27="Positivo",Z27="Positivo")),X27*8%,0))</f>
        <v>3760</v>
      </c>
    </row>
    <row r="28" spans="1:27">
      <c r="A28" s="2" t="s">
        <v>24</v>
      </c>
      <c r="B28" s="2" t="str">
        <f t="shared" si="0"/>
        <v>Ativo</v>
      </c>
      <c r="C28" s="2" t="s">
        <v>43</v>
      </c>
      <c r="D28" s="2" t="str">
        <f t="shared" si="9"/>
        <v>Jojen Florent</v>
      </c>
      <c r="E28" s="2">
        <v>34300</v>
      </c>
      <c r="F28" s="2" t="str">
        <f t="shared" si="1"/>
        <v>000.000.343-00</v>
      </c>
      <c r="G28" s="2">
        <v>48</v>
      </c>
      <c r="H28" s="2">
        <f ca="1">IF(G28="", DATEDIF(J28, TODAY(), "Y"), G28)</f>
        <v>48</v>
      </c>
      <c r="I28" s="6">
        <v>28408</v>
      </c>
      <c r="J28" s="6">
        <f t="shared" si="2"/>
        <v>28408</v>
      </c>
      <c r="K28" s="2" t="s">
        <v>107</v>
      </c>
      <c r="L28" s="2" t="str" cm="1">
        <f t="array" ref="L28">_xlfn.TEXTSPLIT(K28,"|")</f>
        <v>Winterfell</v>
      </c>
      <c r="N28" s="3">
        <v>13300</v>
      </c>
      <c r="O28" s="3">
        <f t="shared" si="3"/>
        <v>13300</v>
      </c>
      <c r="P28" s="4">
        <v>42000</v>
      </c>
      <c r="Q28" s="5">
        <f t="shared" si="11"/>
        <v>42000</v>
      </c>
      <c r="R28" s="2" t="s">
        <v>29</v>
      </c>
      <c r="S28" s="2" t="str">
        <f t="shared" si="10"/>
        <v>Sim</v>
      </c>
      <c r="T28" s="2" t="str">
        <f t="shared" si="4"/>
        <v>Sim</v>
      </c>
      <c r="U28" s="2">
        <v>27</v>
      </c>
      <c r="V28" s="2">
        <f t="shared" si="5"/>
        <v>27</v>
      </c>
      <c r="W28" s="2" t="str">
        <f t="shared" si="6"/>
        <v>alto</v>
      </c>
      <c r="X28" s="5">
        <v>40000</v>
      </c>
      <c r="Y28" t="str">
        <f t="shared" si="7"/>
        <v>Negativo</v>
      </c>
      <c r="Z28" t="str">
        <f t="shared" si="8"/>
        <v>Positivo</v>
      </c>
      <c r="AA28" s="1">
        <f>IF(AND(Y28="Negativo",Z28="Negativo"),0,IF(AND(B28="Ativo",OR(Y28="Positivo",Z28="Positivo")),X28*8%,0))</f>
        <v>3200</v>
      </c>
    </row>
    <row r="29" spans="1:27">
      <c r="A29" s="2" t="s">
        <v>24</v>
      </c>
      <c r="B29" s="2" t="str">
        <f t="shared" si="0"/>
        <v>Ativo</v>
      </c>
      <c r="C29" s="2" t="s">
        <v>108</v>
      </c>
      <c r="D29" s="2" t="str">
        <f t="shared" si="9"/>
        <v>Samwell Yronwood</v>
      </c>
      <c r="E29" s="2" t="s">
        <v>109</v>
      </c>
      <c r="F29" s="2" t="str">
        <f t="shared" si="1"/>
        <v>000.000.124-00</v>
      </c>
      <c r="G29" s="2">
        <v>29</v>
      </c>
      <c r="H29" s="2">
        <f ca="1">IF(G29="", DATEDIF(J29, TODAY(), "Y"), G29)</f>
        <v>29</v>
      </c>
      <c r="I29" s="2">
        <v>35323</v>
      </c>
      <c r="J29" s="6">
        <f t="shared" si="2"/>
        <v>35323</v>
      </c>
      <c r="K29" s="2" t="s">
        <v>110</v>
      </c>
      <c r="L29" s="2" t="str" cm="1">
        <f t="array" ref="L29">_xlfn.TEXTSPLIT(K29,"|")</f>
        <v>Jardim de Cima</v>
      </c>
      <c r="M29" s="2" t="s">
        <v>87</v>
      </c>
      <c r="N29" s="3">
        <v>21200</v>
      </c>
      <c r="O29" s="3">
        <f t="shared" si="3"/>
        <v>21200</v>
      </c>
      <c r="P29" s="4">
        <v>75000</v>
      </c>
      <c r="Q29" s="5">
        <f t="shared" si="11"/>
        <v>75000</v>
      </c>
      <c r="R29" s="2" t="s">
        <v>46</v>
      </c>
      <c r="S29" s="2" t="str">
        <f t="shared" si="10"/>
        <v>Não</v>
      </c>
      <c r="T29" s="2" t="str">
        <f t="shared" si="4"/>
        <v>Não</v>
      </c>
      <c r="U29" s="2">
        <v>6</v>
      </c>
      <c r="V29" s="2">
        <f t="shared" si="5"/>
        <v>6</v>
      </c>
      <c r="W29" s="2" t="str">
        <f t="shared" si="6"/>
        <v>baixo</v>
      </c>
      <c r="X29" s="5">
        <v>63500</v>
      </c>
      <c r="Y29" t="str">
        <f t="shared" si="7"/>
        <v>Positivo</v>
      </c>
      <c r="Z29" t="str">
        <f t="shared" si="8"/>
        <v>Positivo</v>
      </c>
      <c r="AA29" s="1">
        <f>IF(AND(Y29="Negativo",Z29="Negativo"),0,IF(AND(B29="Ativo",OR(Y29="Positivo",Z29="Positivo")),X29*8%,0))</f>
        <v>5080</v>
      </c>
    </row>
    <row r="30" spans="1:27">
      <c r="A30" s="2" t="s">
        <v>111</v>
      </c>
      <c r="B30" s="2" t="str">
        <f t="shared" si="0"/>
        <v>Ativo</v>
      </c>
      <c r="C30" s="2" t="s">
        <v>112</v>
      </c>
      <c r="D30" s="2" t="str">
        <f t="shared" si="9"/>
        <v>Catelyn Yronwood</v>
      </c>
      <c r="E30" s="2" t="s">
        <v>113</v>
      </c>
      <c r="F30" s="2" t="str">
        <f t="shared" si="1"/>
        <v>000.000.226-00</v>
      </c>
      <c r="G30" s="2">
        <v>38</v>
      </c>
      <c r="H30" s="2">
        <f ca="1">IF(G30="", DATEDIF(J30, TODAY(), "Y"), G30)</f>
        <v>38</v>
      </c>
      <c r="I30" s="2">
        <v>32166</v>
      </c>
      <c r="J30" s="6">
        <f t="shared" si="2"/>
        <v>32166</v>
      </c>
      <c r="K30" s="2" t="s">
        <v>80</v>
      </c>
      <c r="L30" s="2" t="str" cm="1">
        <f t="array" ref="L30">_xlfn.TEXTSPLIT(K30,"|")</f>
        <v>Castelo Negro</v>
      </c>
      <c r="M30" s="2" t="s">
        <v>114</v>
      </c>
      <c r="N30" s="3">
        <v>19500</v>
      </c>
      <c r="O30" s="3">
        <f t="shared" si="3"/>
        <v>19500</v>
      </c>
      <c r="P30" s="4">
        <v>39000</v>
      </c>
      <c r="Q30" s="5">
        <f t="shared" si="11"/>
        <v>39000</v>
      </c>
      <c r="R30" s="2" t="s">
        <v>46</v>
      </c>
      <c r="S30" s="2" t="str">
        <f t="shared" si="10"/>
        <v>Não</v>
      </c>
      <c r="T30" s="2" t="str">
        <f t="shared" si="4"/>
        <v>Não</v>
      </c>
      <c r="U30" s="2">
        <v>25</v>
      </c>
      <c r="V30" s="2">
        <f t="shared" si="5"/>
        <v>25</v>
      </c>
      <c r="W30" s="2" t="str">
        <f t="shared" si="6"/>
        <v>médio</v>
      </c>
      <c r="X30" s="5">
        <v>88500</v>
      </c>
      <c r="Y30" t="str">
        <f t="shared" si="7"/>
        <v>Positivo</v>
      </c>
      <c r="Z30" t="str">
        <f t="shared" si="8"/>
        <v>Positivo</v>
      </c>
      <c r="AA30" s="1">
        <f>IF(AND(Y30="Negativo",Z30="Negativo"),0,IF(AND(B30="Ativo",OR(Y30="Positivo",Z30="Positivo")),X30*8%,0))</f>
        <v>7080</v>
      </c>
    </row>
    <row r="31" spans="1:27">
      <c r="A31" s="2" t="s">
        <v>30</v>
      </c>
      <c r="B31" s="2" t="str">
        <f t="shared" si="0"/>
        <v>Inativo</v>
      </c>
      <c r="C31" s="2" t="s">
        <v>115</v>
      </c>
      <c r="D31" s="2" t="str">
        <f t="shared" si="9"/>
        <v>Brienne Reed</v>
      </c>
      <c r="E31" s="2" t="s">
        <v>116</v>
      </c>
      <c r="F31" s="2" t="str">
        <f t="shared" si="1"/>
        <v>000.000.306-00</v>
      </c>
      <c r="G31" s="2">
        <v>68</v>
      </c>
      <c r="H31" s="2">
        <f ca="1">IF(G31="", DATEDIF(J31, TODAY(), "Y"), G31)</f>
        <v>68</v>
      </c>
      <c r="I31" s="2">
        <v>21293</v>
      </c>
      <c r="J31" s="6">
        <f t="shared" si="2"/>
        <v>21293</v>
      </c>
      <c r="K31" s="2" t="s">
        <v>56</v>
      </c>
      <c r="L31" s="2" t="str" cm="1">
        <f t="array" ref="L31">_xlfn.TEXTSPLIT(K31,"|")</f>
        <v>Pyke</v>
      </c>
      <c r="M31" s="2" t="s">
        <v>72</v>
      </c>
      <c r="N31" s="3">
        <v>3800</v>
      </c>
      <c r="O31" s="3">
        <f t="shared" si="3"/>
        <v>3800</v>
      </c>
      <c r="P31" s="4">
        <v>70000</v>
      </c>
      <c r="Q31" s="5">
        <f t="shared" si="11"/>
        <v>70000</v>
      </c>
      <c r="R31" s="2" t="s">
        <v>29</v>
      </c>
      <c r="S31" s="2" t="str">
        <f t="shared" si="10"/>
        <v>Sim</v>
      </c>
      <c r="T31" s="2" t="str">
        <f t="shared" si="4"/>
        <v>Sim</v>
      </c>
      <c r="U31" s="2">
        <v>34</v>
      </c>
      <c r="V31" s="2">
        <f t="shared" si="5"/>
        <v>34</v>
      </c>
      <c r="W31" s="2" t="str">
        <f t="shared" si="6"/>
        <v>alto</v>
      </c>
      <c r="X31" s="5">
        <v>7500</v>
      </c>
      <c r="Y31" t="str">
        <f t="shared" si="7"/>
        <v>Negativo</v>
      </c>
      <c r="Z31" t="str">
        <f t="shared" si="8"/>
        <v>Negativo</v>
      </c>
      <c r="AA31" s="1">
        <f>IF(AND(Y31="Negativo",Z31="Negativo"),0,IF(AND(B31="Ativo",OR(Y31="Positivo",Z31="Positivo")),X31*8%,0))</f>
        <v>0</v>
      </c>
    </row>
    <row r="32" spans="1:27">
      <c r="A32" s="2" t="s">
        <v>24</v>
      </c>
      <c r="B32" s="2" t="str">
        <f t="shared" si="0"/>
        <v>Ativo</v>
      </c>
      <c r="C32" s="2" t="s">
        <v>117</v>
      </c>
      <c r="D32" s="2" t="str">
        <f t="shared" si="9"/>
        <v>Rhaegar Umber</v>
      </c>
      <c r="E32" s="2" t="s">
        <v>118</v>
      </c>
      <c r="F32" s="2" t="str">
        <f t="shared" si="1"/>
        <v>000.000.247-00</v>
      </c>
      <c r="G32" s="2">
        <v>19</v>
      </c>
      <c r="H32" s="2">
        <f ca="1">IF(G32="", DATEDIF(J32, TODAY(), "Y"), G32)</f>
        <v>19</v>
      </c>
      <c r="I32" s="6">
        <v>39220</v>
      </c>
      <c r="J32" s="6">
        <f t="shared" si="2"/>
        <v>39220</v>
      </c>
      <c r="K32" s="2" t="s">
        <v>86</v>
      </c>
      <c r="L32" s="2" t="str" cm="1">
        <f t="array" ref="L32">_xlfn.TEXTSPLIT(K32,"|")</f>
        <v>Vilavelha</v>
      </c>
      <c r="M32" s="2" t="s">
        <v>87</v>
      </c>
      <c r="N32" s="3">
        <v>18000</v>
      </c>
      <c r="O32" s="3">
        <f t="shared" si="3"/>
        <v>18000</v>
      </c>
      <c r="P32" s="4">
        <v>50500</v>
      </c>
      <c r="Q32" s="5">
        <f t="shared" si="11"/>
        <v>50500</v>
      </c>
      <c r="R32" s="2" t="s">
        <v>119</v>
      </c>
      <c r="S32" s="2" t="str">
        <f t="shared" si="10"/>
        <v>sim</v>
      </c>
      <c r="T32" s="2" t="str">
        <f t="shared" si="4"/>
        <v>Sim</v>
      </c>
      <c r="U32" s="2">
        <v>11</v>
      </c>
      <c r="V32" s="2">
        <f t="shared" si="5"/>
        <v>11</v>
      </c>
      <c r="W32" s="2" t="str">
        <f t="shared" si="6"/>
        <v>médio</v>
      </c>
      <c r="X32" s="5">
        <v>26000</v>
      </c>
      <c r="Y32" t="str">
        <f t="shared" si="7"/>
        <v>Positivo</v>
      </c>
      <c r="Z32" t="str">
        <f t="shared" si="8"/>
        <v>Negativo</v>
      </c>
      <c r="AA32" s="1">
        <f>IF(AND(Y32="Negativo",Z32="Negativo"),0,IF(AND(B32="Ativo",OR(Y32="Positivo",Z32="Positivo")),X32*8%,0))</f>
        <v>2080</v>
      </c>
    </row>
    <row r="33" spans="1:27">
      <c r="A33" s="2" t="s">
        <v>24</v>
      </c>
      <c r="B33" s="2" t="str">
        <f t="shared" si="0"/>
        <v>Ativo</v>
      </c>
      <c r="C33" s="2" t="s">
        <v>120</v>
      </c>
      <c r="D33" s="2" t="str">
        <f t="shared" si="9"/>
        <v>Roose Manderly</v>
      </c>
      <c r="E33" s="2">
        <v>15400</v>
      </c>
      <c r="F33" s="2" t="str">
        <f t="shared" si="1"/>
        <v>000.000.154-00</v>
      </c>
      <c r="G33" s="2">
        <v>42</v>
      </c>
      <c r="H33" s="2">
        <f ca="1">IF(G33="", DATEDIF(J33, TODAY(), "Y"), G33)</f>
        <v>42</v>
      </c>
      <c r="I33" s="2">
        <v>30642</v>
      </c>
      <c r="J33" s="6">
        <f t="shared" si="2"/>
        <v>30642</v>
      </c>
      <c r="K33" s="2" t="s">
        <v>121</v>
      </c>
      <c r="L33" s="2" t="str" cm="1">
        <f t="array" ref="L33">_xlfn.TEXTSPLIT(K33,"|")</f>
        <v>Dorne</v>
      </c>
      <c r="M33" s="2" t="s">
        <v>121</v>
      </c>
      <c r="N33" s="3" t="s">
        <v>122</v>
      </c>
      <c r="O33" s="3" t="str">
        <f t="shared" si="3"/>
        <v/>
      </c>
      <c r="P33" s="4">
        <v>19500</v>
      </c>
      <c r="Q33" s="5">
        <f t="shared" si="11"/>
        <v>19500</v>
      </c>
      <c r="R33" s="2" t="s">
        <v>46</v>
      </c>
      <c r="S33" s="2" t="str">
        <f t="shared" si="10"/>
        <v>Não</v>
      </c>
      <c r="T33" s="2" t="str">
        <f t="shared" si="4"/>
        <v>Não</v>
      </c>
      <c r="U33" s="2">
        <v>42</v>
      </c>
      <c r="V33" s="2">
        <f t="shared" si="5"/>
        <v>42</v>
      </c>
      <c r="W33" s="2" t="str">
        <f t="shared" si="6"/>
        <v>alto</v>
      </c>
      <c r="X33" s="5">
        <v>89500</v>
      </c>
      <c r="Y33" t="str">
        <f t="shared" si="7"/>
        <v>Positivo</v>
      </c>
      <c r="Z33" t="str">
        <f t="shared" si="8"/>
        <v>Positivo</v>
      </c>
      <c r="AA33" s="1">
        <f>IF(AND(Y33="Negativo",Z33="Negativo"),0,IF(AND(B33="Ativo",OR(Y33="Positivo",Z33="Positivo")),X33*8%,0))</f>
        <v>7160</v>
      </c>
    </row>
    <row r="34" spans="1:27">
      <c r="A34" s="2" t="s">
        <v>24</v>
      </c>
      <c r="B34" s="2" t="str">
        <f t="shared" si="0"/>
        <v>Ativo</v>
      </c>
      <c r="C34" s="2" t="s">
        <v>123</v>
      </c>
      <c r="D34" s="2" t="str">
        <f t="shared" si="9"/>
        <v>Jeor Florent</v>
      </c>
      <c r="E34" s="2" t="s">
        <v>124</v>
      </c>
      <c r="F34" s="2" t="str">
        <f t="shared" si="1"/>
        <v>000.000.249-00</v>
      </c>
      <c r="G34" s="2">
        <v>27</v>
      </c>
      <c r="H34" s="2">
        <f ca="1">IF(G34="", DATEDIF(J34, TODAY(), "Y"), G34)</f>
        <v>27</v>
      </c>
      <c r="I34" s="2">
        <v>36319</v>
      </c>
      <c r="J34" s="6">
        <f t="shared" si="2"/>
        <v>36319</v>
      </c>
      <c r="K34" s="2" t="s">
        <v>32</v>
      </c>
      <c r="L34" s="2" t="str" cm="1">
        <f t="array" ref="L34">_xlfn.TEXTSPLIT(K34,"|")</f>
        <v>Ponta Tempestade</v>
      </c>
      <c r="M34" s="2" t="s">
        <v>125</v>
      </c>
      <c r="N34" s="3">
        <v>28800</v>
      </c>
      <c r="O34" s="3">
        <f t="shared" si="3"/>
        <v>28800</v>
      </c>
      <c r="P34" s="4">
        <v>78500</v>
      </c>
      <c r="Q34" s="5">
        <f t="shared" si="11"/>
        <v>78500</v>
      </c>
      <c r="R34" s="2" t="s">
        <v>46</v>
      </c>
      <c r="S34" s="2" t="str">
        <f t="shared" si="10"/>
        <v>Não</v>
      </c>
      <c r="T34" s="2" t="str">
        <f t="shared" si="4"/>
        <v>Não</v>
      </c>
      <c r="U34" s="2">
        <v>2</v>
      </c>
      <c r="V34" s="2">
        <f t="shared" si="5"/>
        <v>2</v>
      </c>
      <c r="W34" s="2" t="str">
        <f t="shared" si="6"/>
        <v>baixo</v>
      </c>
      <c r="X34" s="5">
        <v>53000</v>
      </c>
      <c r="Y34" t="str">
        <f t="shared" si="7"/>
        <v>Positivo</v>
      </c>
      <c r="Z34" t="str">
        <f t="shared" si="8"/>
        <v>Positivo</v>
      </c>
      <c r="AA34" s="1">
        <f>IF(AND(Y34="Negativo",Z34="Negativo"),0,IF(AND(B34="Ativo",OR(Y34="Positivo",Z34="Positivo")),X34*8%,0))</f>
        <v>4240</v>
      </c>
    </row>
    <row r="35" spans="1:27">
      <c r="A35" s="2" t="s">
        <v>24</v>
      </c>
      <c r="B35" s="2" t="str">
        <f t="shared" si="0"/>
        <v>Ativo</v>
      </c>
      <c r="C35" s="2" t="s">
        <v>126</v>
      </c>
      <c r="D35" s="2" t="str">
        <f t="shared" si="9"/>
        <v>Bran Yronwood</v>
      </c>
      <c r="E35" s="2" t="s">
        <v>127</v>
      </c>
      <c r="F35" s="2" t="str">
        <f t="shared" si="1"/>
        <v>000.000.057-00</v>
      </c>
      <c r="G35" s="2">
        <v>42</v>
      </c>
      <c r="H35" s="2">
        <f ca="1">IF(G35="", DATEDIF(J35, TODAY(), "Y"), G35)</f>
        <v>42</v>
      </c>
      <c r="I35" s="2">
        <v>30878</v>
      </c>
      <c r="J35" s="6">
        <f t="shared" si="2"/>
        <v>30878</v>
      </c>
      <c r="K35" s="2" t="s">
        <v>56</v>
      </c>
      <c r="L35" s="2" t="str" cm="1">
        <f t="array" ref="L35">_xlfn.TEXTSPLIT(K35,"|")</f>
        <v>Pyke</v>
      </c>
      <c r="M35" s="2" t="s">
        <v>72</v>
      </c>
      <c r="N35" s="3">
        <v>17500</v>
      </c>
      <c r="O35" s="3">
        <f t="shared" si="3"/>
        <v>17500</v>
      </c>
      <c r="P35" s="4">
        <v>3500</v>
      </c>
      <c r="Q35" s="5">
        <f t="shared" si="11"/>
        <v>3500</v>
      </c>
      <c r="R35" s="2" t="s">
        <v>128</v>
      </c>
      <c r="S35" s="2" t="str">
        <f t="shared" si="10"/>
        <v>Nao</v>
      </c>
      <c r="T35" s="2" t="str">
        <f t="shared" si="4"/>
        <v>Não</v>
      </c>
      <c r="U35" s="2">
        <v>25</v>
      </c>
      <c r="V35" s="2">
        <f t="shared" si="5"/>
        <v>25</v>
      </c>
      <c r="W35" s="2" t="str">
        <f t="shared" si="6"/>
        <v>médio</v>
      </c>
      <c r="X35" s="5">
        <v>35000</v>
      </c>
      <c r="Y35" t="str">
        <f t="shared" si="7"/>
        <v>Positivo</v>
      </c>
      <c r="Z35" t="str">
        <f t="shared" si="8"/>
        <v>Positivo</v>
      </c>
      <c r="AA35" s="1">
        <f>IF(AND(Y35="Negativo",Z35="Negativo"),0,IF(AND(B35="Ativo",OR(Y35="Positivo",Z35="Positivo")),X35*8%,0))</f>
        <v>2800</v>
      </c>
    </row>
    <row r="36" spans="1:27">
      <c r="A36" s="2" t="s">
        <v>24</v>
      </c>
      <c r="B36" s="2" t="str">
        <f t="shared" si="0"/>
        <v>Ativo</v>
      </c>
      <c r="C36" s="2" t="s">
        <v>129</v>
      </c>
      <c r="D36" s="2" t="str">
        <f t="shared" si="9"/>
        <v>Bronn Arryn</v>
      </c>
      <c r="E36" s="2" t="s">
        <v>130</v>
      </c>
      <c r="F36" s="2" t="str">
        <f t="shared" si="1"/>
        <v>000.000.016-00</v>
      </c>
      <c r="G36" s="2">
        <v>44</v>
      </c>
      <c r="H36" s="2">
        <f ca="1">IF(G36="", DATEDIF(J36, TODAY(), "Y"), G36)</f>
        <v>44</v>
      </c>
      <c r="I36" s="2">
        <v>29975</v>
      </c>
      <c r="J36" s="6">
        <f t="shared" si="2"/>
        <v>29975</v>
      </c>
      <c r="K36" s="2" t="s">
        <v>49</v>
      </c>
      <c r="L36" s="2" t="str" cm="1">
        <f t="array" ref="L36">_xlfn.TEXTSPLIT(K36,"|")</f>
        <v>Lannisporto</v>
      </c>
      <c r="M36" s="2" t="s">
        <v>131</v>
      </c>
      <c r="N36" s="3">
        <v>5300</v>
      </c>
      <c r="O36" s="3">
        <f t="shared" si="3"/>
        <v>5300</v>
      </c>
      <c r="P36" s="4">
        <v>6000</v>
      </c>
      <c r="Q36" s="5">
        <f t="shared" si="11"/>
        <v>6000</v>
      </c>
      <c r="R36" s="2" t="s">
        <v>29</v>
      </c>
      <c r="S36" s="2" t="str">
        <f t="shared" si="10"/>
        <v>Sim</v>
      </c>
      <c r="T36" s="2" t="str">
        <f t="shared" si="4"/>
        <v>Sim</v>
      </c>
      <c r="U36" s="2">
        <v>1</v>
      </c>
      <c r="V36" s="2">
        <f t="shared" si="5"/>
        <v>1</v>
      </c>
      <c r="W36" s="2" t="str">
        <f t="shared" si="6"/>
        <v>baixo</v>
      </c>
      <c r="X36" s="5">
        <v>4500</v>
      </c>
      <c r="Y36" t="str">
        <f t="shared" si="7"/>
        <v>Positivo</v>
      </c>
      <c r="Z36" t="str">
        <f t="shared" si="8"/>
        <v>Positivo</v>
      </c>
      <c r="AA36" s="1">
        <f>IF(AND(Y36="Negativo",Z36="Negativo"),0,IF(AND(B36="Ativo",OR(Y36="Positivo",Z36="Positivo")),X36*8%,0))</f>
        <v>360</v>
      </c>
    </row>
    <row r="37" spans="1:27">
      <c r="A37" s="2" t="s">
        <v>24</v>
      </c>
      <c r="B37" s="2" t="str">
        <f t="shared" si="0"/>
        <v>Ativo</v>
      </c>
      <c r="C37" s="2" t="s">
        <v>132</v>
      </c>
      <c r="D37" s="2" t="str">
        <f t="shared" si="9"/>
        <v>Shae Clegane</v>
      </c>
      <c r="E37" s="2" t="s">
        <v>133</v>
      </c>
      <c r="F37" s="2" t="str">
        <f t="shared" si="1"/>
        <v>000.000.205-00</v>
      </c>
      <c r="G37" s="2">
        <v>40</v>
      </c>
      <c r="H37" s="2">
        <f ca="1">IF(G37="", DATEDIF(J37, TODAY(), "Y"), G37)</f>
        <v>40</v>
      </c>
      <c r="I37" s="6">
        <v>31539</v>
      </c>
      <c r="J37" s="6">
        <f t="shared" si="2"/>
        <v>31539</v>
      </c>
      <c r="K37" s="2" t="s">
        <v>100</v>
      </c>
      <c r="L37" s="2" t="str" cm="1">
        <f t="array" ref="L37">_xlfn.TEXTSPLIT(K37,"|")</f>
        <v>Fosso Cailin</v>
      </c>
      <c r="M37" s="2" t="s">
        <v>81</v>
      </c>
      <c r="N37" s="3">
        <v>9900</v>
      </c>
      <c r="O37" s="3">
        <f t="shared" si="3"/>
        <v>9900</v>
      </c>
      <c r="P37" s="4">
        <v>3500</v>
      </c>
      <c r="Q37" s="5">
        <f t="shared" si="11"/>
        <v>3500</v>
      </c>
      <c r="R37" s="2" t="s">
        <v>46</v>
      </c>
      <c r="S37" s="2" t="str">
        <f t="shared" si="10"/>
        <v>Não</v>
      </c>
      <c r="T37" s="2" t="str">
        <f t="shared" si="4"/>
        <v>Não</v>
      </c>
      <c r="U37" s="2">
        <v>1</v>
      </c>
      <c r="V37" s="2">
        <f t="shared" si="5"/>
        <v>1</v>
      </c>
      <c r="W37" s="2" t="str">
        <f t="shared" si="6"/>
        <v>baixo</v>
      </c>
      <c r="X37" s="5">
        <v>23500</v>
      </c>
      <c r="Y37" t="str">
        <f t="shared" si="7"/>
        <v>Positivo</v>
      </c>
      <c r="Z37" t="str">
        <f t="shared" si="8"/>
        <v>Positivo</v>
      </c>
      <c r="AA37" s="1">
        <f>IF(AND(Y37="Negativo",Z37="Negativo"),0,IF(AND(B37="Ativo",OR(Y37="Positivo",Z37="Positivo")),X37*8%,0))</f>
        <v>1880</v>
      </c>
    </row>
    <row r="38" spans="1:27">
      <c r="A38" s="2" t="s">
        <v>24</v>
      </c>
      <c r="B38" s="2" t="str">
        <f t="shared" si="0"/>
        <v>Ativo</v>
      </c>
      <c r="C38" s="2" t="s">
        <v>134</v>
      </c>
      <c r="D38" s="2" t="str">
        <f t="shared" si="9"/>
        <v>Ramsay Hornwood</v>
      </c>
      <c r="E38" s="2" t="s">
        <v>135</v>
      </c>
      <c r="F38" s="2" t="str">
        <f t="shared" si="1"/>
        <v>000.000.005-00</v>
      </c>
      <c r="G38" s="2">
        <v>65</v>
      </c>
      <c r="H38" s="2">
        <f ca="1">IF(G38="", DATEDIF(J38, TODAY(), "Y"), G38)</f>
        <v>65</v>
      </c>
      <c r="I38" s="6">
        <v>22236</v>
      </c>
      <c r="J38" s="6">
        <f t="shared" si="2"/>
        <v>22236</v>
      </c>
      <c r="K38" s="2" t="s">
        <v>56</v>
      </c>
      <c r="L38" s="2" t="str" cm="1">
        <f t="array" ref="L38">_xlfn.TEXTSPLIT(K38,"|")</f>
        <v>Pyke</v>
      </c>
      <c r="M38" s="2" t="s">
        <v>57</v>
      </c>
      <c r="N38" s="3">
        <v>23400</v>
      </c>
      <c r="O38" s="3">
        <f t="shared" si="3"/>
        <v>23400</v>
      </c>
      <c r="P38" s="4">
        <v>28000</v>
      </c>
      <c r="Q38" s="5">
        <f t="shared" si="11"/>
        <v>28000</v>
      </c>
      <c r="R38" s="2" t="s">
        <v>46</v>
      </c>
      <c r="S38" s="2" t="str">
        <f t="shared" si="10"/>
        <v>Não</v>
      </c>
      <c r="T38" s="2" t="str">
        <f t="shared" si="4"/>
        <v>Não</v>
      </c>
      <c r="U38" s="2">
        <v>34</v>
      </c>
      <c r="V38" s="2">
        <f t="shared" si="5"/>
        <v>34</v>
      </c>
      <c r="W38" s="2" t="str">
        <f t="shared" si="6"/>
        <v>alto</v>
      </c>
      <c r="X38" s="5">
        <v>74000</v>
      </c>
      <c r="Y38" t="str">
        <f t="shared" si="7"/>
        <v>Positivo</v>
      </c>
      <c r="Z38" t="str">
        <f t="shared" si="8"/>
        <v>Positivo</v>
      </c>
      <c r="AA38" s="1">
        <f>IF(AND(Y38="Negativo",Z38="Negativo"),0,IF(AND(B38="Ativo",OR(Y38="Positivo",Z38="Positivo")),X38*8%,0))</f>
        <v>5920</v>
      </c>
    </row>
    <row r="39" spans="1:27">
      <c r="B39" s="2" t="str">
        <f t="shared" si="0"/>
        <v>Inativo</v>
      </c>
      <c r="C39" s="2" t="s">
        <v>136</v>
      </c>
      <c r="D39" s="2" t="str">
        <f t="shared" si="9"/>
        <v>Meera Payne</v>
      </c>
      <c r="E39" s="2" t="s">
        <v>137</v>
      </c>
      <c r="F39" s="2" t="str">
        <f t="shared" si="1"/>
        <v>000.000.131-00</v>
      </c>
      <c r="G39" s="2">
        <v>63</v>
      </c>
      <c r="H39" s="2">
        <f ca="1">IF(G39="", DATEDIF(J39, TODAY(), "Y"), G39)</f>
        <v>63</v>
      </c>
      <c r="I39" s="2">
        <v>22974</v>
      </c>
      <c r="J39" s="6">
        <f t="shared" si="2"/>
        <v>22974</v>
      </c>
      <c r="K39" s="2" t="s">
        <v>121</v>
      </c>
      <c r="L39" s="2" t="str" cm="1">
        <f t="array" ref="L39">_xlfn.TEXTSPLIT(K39,"|")</f>
        <v>Dorne</v>
      </c>
      <c r="M39" s="2" t="s">
        <v>138</v>
      </c>
      <c r="N39" s="3">
        <v>14700</v>
      </c>
      <c r="O39" s="3">
        <f t="shared" si="3"/>
        <v>14700</v>
      </c>
      <c r="P39" s="4">
        <v>0</v>
      </c>
      <c r="Q39" s="5">
        <f t="shared" si="11"/>
        <v>0</v>
      </c>
      <c r="R39" s="2" t="s">
        <v>119</v>
      </c>
      <c r="S39" s="2" t="str">
        <f t="shared" si="10"/>
        <v>sim</v>
      </c>
      <c r="T39" s="2" t="str">
        <f t="shared" si="4"/>
        <v>Sim</v>
      </c>
      <c r="U39" s="2">
        <v>40</v>
      </c>
      <c r="V39" s="2">
        <f t="shared" si="5"/>
        <v>40</v>
      </c>
      <c r="W39" s="2" t="str">
        <f t="shared" si="6"/>
        <v>alto</v>
      </c>
      <c r="X39" s="5">
        <v>83500</v>
      </c>
      <c r="Y39" t="str">
        <f t="shared" si="7"/>
        <v>Negativo</v>
      </c>
      <c r="Z39" t="str">
        <f t="shared" si="8"/>
        <v>Positivo</v>
      </c>
      <c r="AA39" s="1">
        <f>IF(AND(Y39="Negativo",Z39="Negativo"),0,IF(AND(B39="Ativo",OR(Y39="Positivo",Z39="Positivo")),X39*8%,0))</f>
        <v>0</v>
      </c>
    </row>
    <row r="40" spans="1:27">
      <c r="A40" s="2" t="s">
        <v>24</v>
      </c>
      <c r="B40" s="2" t="str">
        <f t="shared" si="0"/>
        <v>Ativo</v>
      </c>
      <c r="C40" s="2" t="s">
        <v>139</v>
      </c>
      <c r="D40" s="2" t="str">
        <f t="shared" si="9"/>
        <v>Melisandre Baratheon</v>
      </c>
      <c r="E40" s="2" t="s">
        <v>140</v>
      </c>
      <c r="F40" s="2" t="str">
        <f t="shared" si="1"/>
        <v>000.000.364-00</v>
      </c>
      <c r="G40" s="2">
        <v>22</v>
      </c>
      <c r="H40" s="2">
        <f ca="1">IF(G40="", DATEDIF(J40, TODAY(), "Y"), G40)</f>
        <v>22</v>
      </c>
      <c r="J40" s="6">
        <f t="shared" si="2"/>
        <v>0</v>
      </c>
      <c r="K40" s="2" t="s">
        <v>63</v>
      </c>
      <c r="L40" s="2" t="str" cm="1">
        <f t="array" ref="L40">_xlfn.TEXTSPLIT(K40,"|")</f>
        <v>Meereen</v>
      </c>
      <c r="M40" s="2" t="s">
        <v>64</v>
      </c>
      <c r="N40" s="3">
        <v>14400</v>
      </c>
      <c r="O40" s="3">
        <f t="shared" si="3"/>
        <v>14400</v>
      </c>
      <c r="P40" s="4">
        <v>0</v>
      </c>
      <c r="Q40" s="5">
        <f t="shared" si="11"/>
        <v>0</v>
      </c>
      <c r="R40" s="2" t="s">
        <v>46</v>
      </c>
      <c r="S40" s="2" t="str">
        <f t="shared" si="10"/>
        <v>Não</v>
      </c>
      <c r="T40" s="2" t="str">
        <f t="shared" si="4"/>
        <v>Não</v>
      </c>
      <c r="U40" s="2">
        <v>27</v>
      </c>
      <c r="V40" s="2">
        <f t="shared" si="5"/>
        <v>27</v>
      </c>
      <c r="W40" s="2" t="str">
        <f t="shared" si="6"/>
        <v>alto</v>
      </c>
      <c r="X40" s="5">
        <v>33500</v>
      </c>
      <c r="Y40" t="str">
        <f t="shared" si="7"/>
        <v>Positivo</v>
      </c>
      <c r="Z40" t="str">
        <f t="shared" si="8"/>
        <v>Positivo</v>
      </c>
      <c r="AA40" s="1">
        <f>IF(AND(Y40="Negativo",Z40="Negativo"),0,IF(AND(B40="Ativo",OR(Y40="Positivo",Z40="Positivo")),X40*8%,0))</f>
        <v>2680</v>
      </c>
    </row>
    <row r="41" spans="1:27">
      <c r="A41" s="2" t="s">
        <v>50</v>
      </c>
      <c r="B41" s="2" t="str">
        <f t="shared" si="0"/>
        <v>Ativo</v>
      </c>
      <c r="C41" s="2" t="s">
        <v>141</v>
      </c>
      <c r="D41" s="2" t="str">
        <f t="shared" si="9"/>
        <v>Podrick Targaryen</v>
      </c>
      <c r="E41" s="2" t="s">
        <v>142</v>
      </c>
      <c r="F41" s="2" t="str">
        <f t="shared" si="1"/>
        <v>000.000.050-00</v>
      </c>
      <c r="G41" s="2">
        <v>39</v>
      </c>
      <c r="H41" s="2">
        <f ca="1">IF(G41="", DATEDIF(J41, TODAY(), "Y"), G41)</f>
        <v>39</v>
      </c>
      <c r="I41" s="2">
        <v>31879</v>
      </c>
      <c r="J41" s="6">
        <f t="shared" si="2"/>
        <v>31879</v>
      </c>
      <c r="K41" s="2" t="s">
        <v>86</v>
      </c>
      <c r="L41" s="2" t="str" cm="1">
        <f t="array" ref="L41">_xlfn.TEXTSPLIT(K41,"|")</f>
        <v>Vilavelha</v>
      </c>
      <c r="M41" s="2" t="s">
        <v>87</v>
      </c>
      <c r="N41" s="3">
        <v>29900</v>
      </c>
      <c r="O41" s="3">
        <f t="shared" si="3"/>
        <v>29900</v>
      </c>
      <c r="P41" s="4">
        <v>0</v>
      </c>
      <c r="Q41" s="5">
        <f t="shared" si="11"/>
        <v>0</v>
      </c>
      <c r="R41" s="2" t="s">
        <v>46</v>
      </c>
      <c r="S41" s="2" t="str">
        <f t="shared" si="10"/>
        <v>Não</v>
      </c>
      <c r="T41" s="2" t="str">
        <f t="shared" si="4"/>
        <v>Não</v>
      </c>
      <c r="U41" s="2">
        <v>39</v>
      </c>
      <c r="V41" s="2">
        <f t="shared" si="5"/>
        <v>39</v>
      </c>
      <c r="W41" s="2" t="str">
        <f t="shared" si="6"/>
        <v>alto</v>
      </c>
      <c r="X41" s="5">
        <v>75000</v>
      </c>
      <c r="Y41" t="str">
        <f t="shared" si="7"/>
        <v>Positivo</v>
      </c>
      <c r="Z41" t="str">
        <f t="shared" si="8"/>
        <v>Positivo</v>
      </c>
      <c r="AA41" s="1">
        <f>IF(AND(Y41="Negativo",Z41="Negativo"),0,IF(AND(B41="Ativo",OR(Y41="Positivo",Z41="Positivo")),X41*8%,0))</f>
        <v>6000</v>
      </c>
    </row>
    <row r="42" spans="1:27">
      <c r="A42" s="2" t="s">
        <v>24</v>
      </c>
      <c r="B42" s="2" t="str">
        <f t="shared" si="0"/>
        <v>Ativo</v>
      </c>
      <c r="C42" s="2" t="s">
        <v>143</v>
      </c>
      <c r="D42" s="2" t="str">
        <f t="shared" si="9"/>
        <v>Margaery Manderly</v>
      </c>
      <c r="E42" s="2" t="s">
        <v>144</v>
      </c>
      <c r="F42" s="2" t="str">
        <f t="shared" si="1"/>
        <v>000.000.222-00</v>
      </c>
      <c r="G42" s="2">
        <v>63</v>
      </c>
      <c r="H42" s="2">
        <f ca="1">IF(G42="", DATEDIF(J42, TODAY(), "Y"), G42)</f>
        <v>63</v>
      </c>
      <c r="I42" s="2">
        <v>23231</v>
      </c>
      <c r="J42" s="6">
        <f t="shared" si="2"/>
        <v>23231</v>
      </c>
      <c r="K42" s="2" t="s">
        <v>107</v>
      </c>
      <c r="L42" s="2" t="str" cm="1">
        <f t="array" ref="L42">_xlfn.TEXTSPLIT(K42,"|")</f>
        <v>Winterfell</v>
      </c>
      <c r="M42" s="2" t="s">
        <v>81</v>
      </c>
      <c r="N42" s="3">
        <v>16800</v>
      </c>
      <c r="O42" s="3">
        <f t="shared" si="3"/>
        <v>16800</v>
      </c>
      <c r="P42" s="4">
        <v>0</v>
      </c>
      <c r="Q42" s="5">
        <f t="shared" si="11"/>
        <v>0</v>
      </c>
      <c r="S42" s="2" t="str">
        <f t="shared" si="10"/>
        <v/>
      </c>
      <c r="T42" s="2" t="str">
        <f t="shared" si="4"/>
        <v>Não</v>
      </c>
      <c r="U42" s="2">
        <v>32</v>
      </c>
      <c r="V42" s="2">
        <f t="shared" si="5"/>
        <v>32</v>
      </c>
      <c r="W42" s="2" t="str">
        <f t="shared" si="6"/>
        <v>alto</v>
      </c>
      <c r="X42" s="5">
        <v>61500</v>
      </c>
      <c r="Y42" t="str">
        <f t="shared" si="7"/>
        <v>Positivo</v>
      </c>
      <c r="Z42" t="str">
        <f t="shared" si="8"/>
        <v>Positivo</v>
      </c>
      <c r="AA42" s="1">
        <f>IF(AND(Y42="Negativo",Z42="Negativo"),0,IF(AND(B42="Ativo",OR(Y42="Positivo",Z42="Positivo")),X42*8%,0))</f>
        <v>4920</v>
      </c>
    </row>
    <row r="43" spans="1:27">
      <c r="A43" s="2" t="s">
        <v>24</v>
      </c>
      <c r="B43" s="2" t="str">
        <f t="shared" si="0"/>
        <v>Ativo</v>
      </c>
      <c r="C43" s="2" t="s">
        <v>145</v>
      </c>
      <c r="D43" s="2" t="str">
        <f t="shared" si="9"/>
        <v>Daenerys Seaworth</v>
      </c>
      <c r="E43" s="2" t="s">
        <v>146</v>
      </c>
      <c r="F43" s="2" t="str">
        <f t="shared" si="1"/>
        <v>000.000.341-00</v>
      </c>
      <c r="G43" s="2">
        <v>54</v>
      </c>
      <c r="H43" s="2">
        <f ca="1">IF(G43="", DATEDIF(J43, TODAY(), "Y"), G43)</f>
        <v>54</v>
      </c>
      <c r="I43" s="6">
        <v>26213</v>
      </c>
      <c r="J43" s="6">
        <f t="shared" si="2"/>
        <v>26213</v>
      </c>
      <c r="K43" s="2" t="s">
        <v>86</v>
      </c>
      <c r="L43" s="2" t="str" cm="1">
        <f t="array" ref="L43">_xlfn.TEXTSPLIT(K43,"|")</f>
        <v>Vilavelha</v>
      </c>
      <c r="M43" s="2" t="s">
        <v>147</v>
      </c>
      <c r="N43" s="3">
        <v>29700</v>
      </c>
      <c r="O43" s="3">
        <f t="shared" si="3"/>
        <v>29700</v>
      </c>
      <c r="P43" s="4">
        <v>34000</v>
      </c>
      <c r="Q43" s="5">
        <f t="shared" si="11"/>
        <v>34000</v>
      </c>
      <c r="R43" s="2" t="s">
        <v>46</v>
      </c>
      <c r="S43" s="2" t="str">
        <f t="shared" si="10"/>
        <v>Não</v>
      </c>
      <c r="T43" s="2" t="str">
        <f t="shared" si="4"/>
        <v>Não</v>
      </c>
      <c r="U43" s="2">
        <v>35</v>
      </c>
      <c r="V43" s="2">
        <f t="shared" si="5"/>
        <v>35</v>
      </c>
      <c r="W43" s="2" t="str">
        <f t="shared" si="6"/>
        <v>alto</v>
      </c>
      <c r="X43" s="5">
        <v>35000</v>
      </c>
      <c r="Y43" t="str">
        <f t="shared" si="7"/>
        <v>Positivo</v>
      </c>
      <c r="Z43" t="str">
        <f t="shared" si="8"/>
        <v>Positivo</v>
      </c>
      <c r="AA43" s="1">
        <f>IF(AND(Y43="Negativo",Z43="Negativo"),0,IF(AND(B43="Ativo",OR(Y43="Positivo",Z43="Positivo")),X43*8%,0))</f>
        <v>2800</v>
      </c>
    </row>
    <row r="44" spans="1:27">
      <c r="A44" s="2" t="s">
        <v>24</v>
      </c>
      <c r="B44" s="2" t="str">
        <f t="shared" si="0"/>
        <v>Ativo</v>
      </c>
      <c r="C44" s="2" t="s">
        <v>51</v>
      </c>
      <c r="D44" s="2" t="str">
        <f t="shared" si="9"/>
        <v>Brienne Manderly</v>
      </c>
      <c r="E44" s="2" t="s">
        <v>148</v>
      </c>
      <c r="F44" s="2" t="str">
        <f t="shared" si="1"/>
        <v>000.000.140-00</v>
      </c>
      <c r="G44" s="2">
        <v>29</v>
      </c>
      <c r="H44" s="2">
        <f ca="1">IF(G44="", DATEDIF(J44, TODAY(), "Y"), G44)</f>
        <v>29</v>
      </c>
      <c r="I44" s="2">
        <v>35472</v>
      </c>
      <c r="J44" s="6">
        <f t="shared" si="2"/>
        <v>35472</v>
      </c>
      <c r="K44" s="2" t="s">
        <v>149</v>
      </c>
      <c r="L44" s="2" t="str" cm="1">
        <f t="array" ref="L44:M44">_xlfn.TEXTSPLIT(K44,"|")</f>
        <v xml:space="preserve">Fosso Cailin </v>
      </c>
      <c r="M44" s="2" t="str">
        <v xml:space="preserve"> Norte</v>
      </c>
      <c r="N44" s="3">
        <v>11900</v>
      </c>
      <c r="O44" s="3">
        <f t="shared" si="3"/>
        <v>11900</v>
      </c>
      <c r="P44" s="4">
        <v>65000</v>
      </c>
      <c r="Q44" s="5">
        <f t="shared" si="11"/>
        <v>65000</v>
      </c>
      <c r="R44" s="2" t="s">
        <v>29</v>
      </c>
      <c r="S44" s="2" t="str">
        <f t="shared" si="10"/>
        <v>Sim</v>
      </c>
      <c r="T44" s="2" t="str">
        <f t="shared" si="4"/>
        <v>Sim</v>
      </c>
      <c r="U44" s="2">
        <v>29</v>
      </c>
      <c r="V44" s="2">
        <f t="shared" si="5"/>
        <v>29</v>
      </c>
      <c r="W44" s="2" t="str">
        <f t="shared" si="6"/>
        <v>alto</v>
      </c>
      <c r="X44" s="5">
        <v>12000</v>
      </c>
      <c r="Y44" t="str">
        <f t="shared" si="7"/>
        <v>Negativo</v>
      </c>
      <c r="Z44" t="str">
        <f t="shared" si="8"/>
        <v>Negativo</v>
      </c>
      <c r="AA44" s="1">
        <f>IF(AND(Y44="Negativo",Z44="Negativo"),0,IF(AND(B44="Ativo",OR(Y44="Positivo",Z44="Positivo")),X44*8%,0))</f>
        <v>0</v>
      </c>
    </row>
    <row r="45" spans="1:27">
      <c r="A45" s="2" t="s">
        <v>24</v>
      </c>
      <c r="B45" s="2" t="str">
        <f t="shared" si="0"/>
        <v>Ativo</v>
      </c>
      <c r="C45" s="2" t="s">
        <v>150</v>
      </c>
      <c r="D45" s="2" t="str">
        <f t="shared" si="9"/>
        <v>Jorah Redwyne</v>
      </c>
      <c r="E45" s="2">
        <v>16500</v>
      </c>
      <c r="F45" s="2" t="str">
        <f t="shared" si="1"/>
        <v>000.000.165-00</v>
      </c>
      <c r="G45" s="2">
        <v>37</v>
      </c>
      <c r="H45" s="2">
        <f ca="1">IF(G45="", DATEDIF(J45, TODAY(), "Y"), G45)</f>
        <v>37</v>
      </c>
      <c r="I45" s="2">
        <v>32513</v>
      </c>
      <c r="J45" s="6">
        <f t="shared" si="2"/>
        <v>32513</v>
      </c>
      <c r="K45" s="2" t="s">
        <v>151</v>
      </c>
      <c r="L45" s="2" t="str" cm="1">
        <f t="array" ref="L45">_xlfn.TEXTSPLIT(K45,"|")</f>
        <v>Monte Chifre</v>
      </c>
      <c r="M45" s="2" t="s">
        <v>152</v>
      </c>
      <c r="N45" s="3">
        <v>2600</v>
      </c>
      <c r="O45" s="3">
        <f t="shared" si="3"/>
        <v>2600</v>
      </c>
      <c r="P45" s="4" t="s">
        <v>38</v>
      </c>
      <c r="Q45" s="5" t="str">
        <f t="shared" si="11"/>
        <v>N/A</v>
      </c>
      <c r="R45" s="2" t="s">
        <v>46</v>
      </c>
      <c r="S45" s="2" t="str">
        <f t="shared" si="10"/>
        <v>Não</v>
      </c>
      <c r="T45" s="2" t="str">
        <f t="shared" si="4"/>
        <v>Não</v>
      </c>
      <c r="U45" s="2">
        <v>5</v>
      </c>
      <c r="V45" s="2">
        <f t="shared" si="5"/>
        <v>5</v>
      </c>
      <c r="W45" s="2" t="str">
        <f t="shared" si="6"/>
        <v>baixo</v>
      </c>
      <c r="X45" s="5">
        <v>16500</v>
      </c>
      <c r="Y45" t="str">
        <f t="shared" si="7"/>
        <v>Positivo</v>
      </c>
      <c r="Z45" t="str">
        <f t="shared" si="8"/>
        <v>Negativo</v>
      </c>
      <c r="AA45" s="1">
        <f>IF(AND(Y45="Negativo",Z45="Negativo"),0,IF(AND(B45="Ativo",OR(Y45="Positivo",Z45="Positivo")),X45*8%,0))</f>
        <v>1320</v>
      </c>
    </row>
    <row r="46" spans="1:27">
      <c r="A46" s="2" t="s">
        <v>24</v>
      </c>
      <c r="B46" s="2" t="str">
        <f t="shared" si="0"/>
        <v>Ativo</v>
      </c>
      <c r="C46" s="2" t="s">
        <v>153</v>
      </c>
      <c r="D46" s="2" t="str">
        <f t="shared" si="9"/>
        <v>Margaery  Hornwood</v>
      </c>
      <c r="E46" s="2">
        <v>15100</v>
      </c>
      <c r="F46" s="2" t="str">
        <f t="shared" si="1"/>
        <v>000.000.151-00</v>
      </c>
      <c r="G46" s="2">
        <v>25</v>
      </c>
      <c r="H46" s="2">
        <f ca="1">IF(G46="", DATEDIF(J46, TODAY(), "Y"), G46)</f>
        <v>25</v>
      </c>
      <c r="I46" s="6">
        <v>37125</v>
      </c>
      <c r="J46" s="6">
        <f t="shared" si="2"/>
        <v>37125</v>
      </c>
      <c r="K46" s="2" t="s">
        <v>121</v>
      </c>
      <c r="L46" s="2" t="str" cm="1">
        <f t="array" ref="L46">_xlfn.TEXTSPLIT(K46,"|")</f>
        <v>Dorne</v>
      </c>
      <c r="M46" s="2" t="s">
        <v>121</v>
      </c>
      <c r="N46" s="3">
        <v>2500</v>
      </c>
      <c r="O46" s="3">
        <f t="shared" si="3"/>
        <v>2500</v>
      </c>
      <c r="P46" s="4">
        <v>72500</v>
      </c>
      <c r="Q46" s="5">
        <f t="shared" si="11"/>
        <v>72500</v>
      </c>
      <c r="R46" s="2" t="s">
        <v>46</v>
      </c>
      <c r="S46" s="2" t="str">
        <f t="shared" si="10"/>
        <v>Não</v>
      </c>
      <c r="T46" s="2" t="str">
        <f t="shared" si="4"/>
        <v>Não</v>
      </c>
      <c r="U46" s="2">
        <v>32</v>
      </c>
      <c r="V46" s="2">
        <f t="shared" si="5"/>
        <v>32</v>
      </c>
      <c r="W46" s="2" t="str">
        <f t="shared" si="6"/>
        <v>alto</v>
      </c>
      <c r="X46" s="5">
        <v>97000</v>
      </c>
      <c r="Y46" t="str">
        <f t="shared" si="7"/>
        <v>Positivo</v>
      </c>
      <c r="Z46" t="str">
        <f t="shared" si="8"/>
        <v>Positivo</v>
      </c>
      <c r="AA46" s="1">
        <f>IF(AND(Y46="Negativo",Z46="Negativo"),0,IF(AND(B46="Ativo",OR(Y46="Positivo",Z46="Positivo")),X46*8%,0))</f>
        <v>7760</v>
      </c>
    </row>
    <row r="47" spans="1:27">
      <c r="A47" s="2" t="s">
        <v>24</v>
      </c>
      <c r="B47" s="2" t="str">
        <f t="shared" si="0"/>
        <v>Ativo</v>
      </c>
      <c r="C47" s="2" t="s">
        <v>154</v>
      </c>
      <c r="D47" s="2" t="str">
        <f t="shared" si="9"/>
        <v>Arya Redwyne</v>
      </c>
      <c r="E47" s="2" t="s">
        <v>155</v>
      </c>
      <c r="F47" s="2" t="str">
        <f t="shared" si="1"/>
        <v>000.000.333-00</v>
      </c>
      <c r="G47" s="2">
        <v>21</v>
      </c>
      <c r="H47" s="2">
        <f ca="1">IF(G47="", DATEDIF(J47, TODAY(), "Y"), G47)</f>
        <v>21</v>
      </c>
      <c r="I47" s="2">
        <v>38323</v>
      </c>
      <c r="J47" s="6">
        <f t="shared" si="2"/>
        <v>38323</v>
      </c>
      <c r="K47" s="2" t="s">
        <v>77</v>
      </c>
      <c r="L47" s="2" t="str" cm="1">
        <f t="array" ref="L47">_xlfn.TEXTSPLIT(K47,"|")</f>
        <v>Correrrio</v>
      </c>
      <c r="M47" s="2" t="s">
        <v>78</v>
      </c>
      <c r="N47" s="3">
        <v>3800</v>
      </c>
      <c r="O47" s="3">
        <f t="shared" si="3"/>
        <v>3800</v>
      </c>
      <c r="P47" s="4">
        <v>0</v>
      </c>
      <c r="Q47" s="5">
        <f t="shared" si="11"/>
        <v>0</v>
      </c>
      <c r="R47" s="2" t="s">
        <v>46</v>
      </c>
      <c r="S47" s="2" t="str">
        <f t="shared" si="10"/>
        <v>Não</v>
      </c>
      <c r="T47" s="2" t="str">
        <f t="shared" si="4"/>
        <v>Não</v>
      </c>
      <c r="U47" s="2">
        <v>25</v>
      </c>
      <c r="V47" s="2">
        <f t="shared" si="5"/>
        <v>25</v>
      </c>
      <c r="W47" s="2" t="str">
        <f t="shared" si="6"/>
        <v>médio</v>
      </c>
      <c r="X47" s="5">
        <v>50000</v>
      </c>
      <c r="Y47" t="str">
        <f t="shared" si="7"/>
        <v>Positivo</v>
      </c>
      <c r="Z47" t="str">
        <f t="shared" si="8"/>
        <v>Positivo</v>
      </c>
      <c r="AA47" s="1">
        <f>IF(AND(Y47="Negativo",Z47="Negativo"),0,IF(AND(B47="Ativo",OR(Y47="Positivo",Z47="Positivo")),X47*8%,0))</f>
        <v>4000</v>
      </c>
    </row>
    <row r="48" spans="1:27">
      <c r="A48" s="2" t="s">
        <v>24</v>
      </c>
      <c r="B48" s="2" t="str">
        <f t="shared" si="0"/>
        <v>Ativo</v>
      </c>
      <c r="C48" s="2" t="s">
        <v>156</v>
      </c>
      <c r="D48" s="2" t="str">
        <f t="shared" si="9"/>
        <v>Varys Bracken</v>
      </c>
      <c r="E48" s="2" t="s">
        <v>157</v>
      </c>
      <c r="F48" s="2" t="str">
        <f t="shared" si="1"/>
        <v>000.000.215-00</v>
      </c>
      <c r="G48" s="2">
        <v>28</v>
      </c>
      <c r="H48" s="2">
        <f ca="1">IF(G48="", DATEDIF(J48, TODAY(), "Y"), G48)</f>
        <v>28</v>
      </c>
      <c r="I48" s="6">
        <v>35887</v>
      </c>
      <c r="J48" s="6">
        <f t="shared" si="2"/>
        <v>35887</v>
      </c>
      <c r="K48" s="2" t="s">
        <v>158</v>
      </c>
      <c r="L48" s="2" t="str" cm="1">
        <f t="array" ref="L48">_xlfn.TEXTSPLIT(K48,"|")</f>
        <v>Porto Real</v>
      </c>
      <c r="M48" s="2" t="s">
        <v>37</v>
      </c>
      <c r="N48" s="3">
        <v>2000</v>
      </c>
      <c r="O48" s="3">
        <f t="shared" si="3"/>
        <v>2000</v>
      </c>
      <c r="P48" s="4">
        <v>51000</v>
      </c>
      <c r="Q48" s="5">
        <f t="shared" si="11"/>
        <v>51000</v>
      </c>
      <c r="R48" s="2" t="s">
        <v>128</v>
      </c>
      <c r="S48" s="2" t="str">
        <f t="shared" si="10"/>
        <v>Nao</v>
      </c>
      <c r="T48" s="2" t="str">
        <f t="shared" si="4"/>
        <v>Não</v>
      </c>
      <c r="U48" s="2">
        <v>12</v>
      </c>
      <c r="V48" s="2">
        <f t="shared" si="5"/>
        <v>12</v>
      </c>
      <c r="W48" s="2" t="str">
        <f t="shared" si="6"/>
        <v>médio</v>
      </c>
      <c r="X48" s="5">
        <v>72500</v>
      </c>
      <c r="Y48" t="str">
        <f t="shared" si="7"/>
        <v>Positivo</v>
      </c>
      <c r="Z48" t="str">
        <f t="shared" si="8"/>
        <v>Positivo</v>
      </c>
      <c r="AA48" s="1">
        <f>IF(AND(Y48="Negativo",Z48="Negativo"),0,IF(AND(B48="Ativo",OR(Y48="Positivo",Z48="Positivo")),X48*8%,0))</f>
        <v>5800</v>
      </c>
    </row>
    <row r="49" spans="1:27">
      <c r="A49" s="2" t="s">
        <v>24</v>
      </c>
      <c r="B49" s="2" t="str">
        <f t="shared" si="0"/>
        <v>Ativo</v>
      </c>
      <c r="C49" s="2" t="s">
        <v>159</v>
      </c>
      <c r="D49" s="2" t="str">
        <f t="shared" si="9"/>
        <v>Brienne Royce</v>
      </c>
      <c r="E49" s="2">
        <v>10800</v>
      </c>
      <c r="F49" s="2" t="str">
        <f t="shared" si="1"/>
        <v>000.000.108-00</v>
      </c>
      <c r="G49" s="2">
        <v>39</v>
      </c>
      <c r="H49" s="2">
        <f ca="1">IF(G49="", DATEDIF(J49, TODAY(), "Y"), G49)</f>
        <v>39</v>
      </c>
      <c r="I49" s="6">
        <v>31766</v>
      </c>
      <c r="J49" s="6">
        <f t="shared" si="2"/>
        <v>31766</v>
      </c>
      <c r="K49" s="2" t="s">
        <v>86</v>
      </c>
      <c r="L49" s="2" t="str" cm="1">
        <f t="array" ref="L49">_xlfn.TEXTSPLIT(K49,"|")</f>
        <v>Vilavelha</v>
      </c>
      <c r="M49" s="2" t="s">
        <v>152</v>
      </c>
      <c r="N49" s="3">
        <v>24700</v>
      </c>
      <c r="O49" s="3">
        <f t="shared" si="3"/>
        <v>24700</v>
      </c>
      <c r="P49" s="4">
        <v>23500</v>
      </c>
      <c r="Q49" s="5">
        <f t="shared" si="11"/>
        <v>23500</v>
      </c>
      <c r="R49" s="2" t="s">
        <v>46</v>
      </c>
      <c r="S49" s="2" t="str">
        <f t="shared" si="10"/>
        <v>Não</v>
      </c>
      <c r="T49" s="2" t="str">
        <f t="shared" si="4"/>
        <v>Não</v>
      </c>
      <c r="U49" s="2">
        <v>43</v>
      </c>
      <c r="V49" s="2">
        <f t="shared" si="5"/>
        <v>43</v>
      </c>
      <c r="W49" s="2" t="str">
        <f t="shared" si="6"/>
        <v>alto</v>
      </c>
      <c r="X49" s="5">
        <v>57000</v>
      </c>
      <c r="Y49" t="str">
        <f t="shared" si="7"/>
        <v>Positivo</v>
      </c>
      <c r="Z49" t="str">
        <f t="shared" si="8"/>
        <v>Positivo</v>
      </c>
      <c r="AA49" s="1">
        <f>IF(AND(Y49="Negativo",Z49="Negativo"),0,IF(AND(B49="Ativo",OR(Y49="Positivo",Z49="Positivo")),X49*8%,0))</f>
        <v>4560</v>
      </c>
    </row>
    <row r="50" spans="1:27">
      <c r="A50" s="2" t="s">
        <v>24</v>
      </c>
      <c r="B50" s="2" t="str">
        <f t="shared" si="0"/>
        <v>Ativo</v>
      </c>
      <c r="C50" s="2" t="s">
        <v>160</v>
      </c>
      <c r="D50" s="2" t="str">
        <f t="shared" si="9"/>
        <v>Rickon Redwyne</v>
      </c>
      <c r="E50" s="2">
        <v>15000</v>
      </c>
      <c r="F50" s="2" t="str">
        <f t="shared" si="1"/>
        <v>000.000.150-00</v>
      </c>
      <c r="G50" s="2">
        <v>73</v>
      </c>
      <c r="H50" s="2">
        <f ca="1">IF(G50="", DATEDIF(J50, TODAY(), "Y"), G50)</f>
        <v>73</v>
      </c>
      <c r="I50" s="2">
        <v>19588</v>
      </c>
      <c r="J50" s="6">
        <f t="shared" si="2"/>
        <v>19588</v>
      </c>
      <c r="K50" s="2" t="s">
        <v>100</v>
      </c>
      <c r="L50" s="2" t="str" cm="1">
        <f t="array" ref="L50">_xlfn.TEXTSPLIT(K50,"|")</f>
        <v>Fosso Cailin</v>
      </c>
      <c r="M50" s="2" t="s">
        <v>81</v>
      </c>
      <c r="N50" s="3">
        <v>28600</v>
      </c>
      <c r="O50" s="3">
        <f t="shared" si="3"/>
        <v>28600</v>
      </c>
      <c r="P50" s="4">
        <v>40500</v>
      </c>
      <c r="Q50" s="5">
        <f t="shared" si="11"/>
        <v>40500</v>
      </c>
      <c r="R50" s="2" t="s">
        <v>46</v>
      </c>
      <c r="S50" s="2" t="str">
        <f t="shared" si="10"/>
        <v>Não</v>
      </c>
      <c r="T50" s="2" t="str">
        <f t="shared" si="4"/>
        <v>Não</v>
      </c>
      <c r="U50" s="2">
        <v>20</v>
      </c>
      <c r="V50" s="2">
        <f t="shared" si="5"/>
        <v>20</v>
      </c>
      <c r="W50" s="2" t="str">
        <f t="shared" si="6"/>
        <v>médio</v>
      </c>
      <c r="X50" s="5">
        <v>2500</v>
      </c>
      <c r="Y50" t="str">
        <f t="shared" si="7"/>
        <v>Positivo</v>
      </c>
      <c r="Z50" t="str">
        <f t="shared" si="8"/>
        <v>Positivo</v>
      </c>
      <c r="AA50" s="1">
        <f>IF(AND(Y50="Negativo",Z50="Negativo"),0,IF(AND(B50="Ativo",OR(Y50="Positivo",Z50="Positivo")),X50*8%,0))</f>
        <v>200</v>
      </c>
    </row>
    <row r="51" spans="1:27">
      <c r="A51" s="2" t="s">
        <v>24</v>
      </c>
      <c r="B51" s="2" t="str">
        <f t="shared" si="0"/>
        <v>Ativo</v>
      </c>
      <c r="C51" s="2" t="s">
        <v>161</v>
      </c>
      <c r="D51" s="2" t="str">
        <f t="shared" si="9"/>
        <v>Tormund Karstark</v>
      </c>
      <c r="E51" s="2" t="s">
        <v>162</v>
      </c>
      <c r="F51" s="2" t="str">
        <f t="shared" si="1"/>
        <v>000.000.284-00</v>
      </c>
      <c r="G51" s="2">
        <v>42</v>
      </c>
      <c r="H51" s="2">
        <f ca="1">IF(G51="", DATEDIF(J51, TODAY(), "Y"), G51)</f>
        <v>42</v>
      </c>
      <c r="I51" s="6">
        <v>30662</v>
      </c>
      <c r="J51" s="6">
        <f t="shared" si="2"/>
        <v>30662</v>
      </c>
      <c r="K51" s="2" t="s">
        <v>80</v>
      </c>
      <c r="L51" s="2" t="str" cm="1">
        <f t="array" ref="L51">_xlfn.TEXTSPLIT(K51,"|")</f>
        <v>Castelo Negro</v>
      </c>
      <c r="M51" s="2" t="s">
        <v>93</v>
      </c>
      <c r="N51" s="3">
        <v>20400</v>
      </c>
      <c r="O51" s="3">
        <f t="shared" si="3"/>
        <v>20400</v>
      </c>
      <c r="P51" s="4">
        <v>0</v>
      </c>
      <c r="Q51" s="5">
        <f t="shared" si="11"/>
        <v>0</v>
      </c>
      <c r="R51" s="2" t="s">
        <v>128</v>
      </c>
      <c r="S51" s="2" t="str">
        <f t="shared" si="10"/>
        <v>Nao</v>
      </c>
      <c r="T51" s="2" t="str">
        <f t="shared" si="4"/>
        <v>Não</v>
      </c>
      <c r="U51" s="2">
        <v>0</v>
      </c>
      <c r="V51" s="2">
        <f t="shared" si="5"/>
        <v>0</v>
      </c>
      <c r="W51" s="2" t="str">
        <f t="shared" si="6"/>
        <v>baixo</v>
      </c>
      <c r="X51" s="5">
        <v>81000</v>
      </c>
      <c r="Y51" t="str">
        <f t="shared" si="7"/>
        <v>Positivo</v>
      </c>
      <c r="Z51" t="str">
        <f t="shared" si="8"/>
        <v>Positivo</v>
      </c>
      <c r="AA51" s="1">
        <f>IF(AND(Y51="Negativo",Z51="Negativo"),0,IF(AND(B51="Ativo",OR(Y51="Positivo",Z51="Positivo")),X51*8%,0))</f>
        <v>6480</v>
      </c>
    </row>
    <row r="52" spans="1:27">
      <c r="A52" s="2" t="s">
        <v>24</v>
      </c>
      <c r="B52" s="2" t="str">
        <f t="shared" si="0"/>
        <v>Ativo</v>
      </c>
      <c r="C52" s="2" t="s">
        <v>163</v>
      </c>
      <c r="D52" s="2" t="str">
        <f t="shared" si="9"/>
        <v>Bran Dayne</v>
      </c>
      <c r="E52" s="2" t="s">
        <v>164</v>
      </c>
      <c r="F52" s="2" t="str">
        <f t="shared" si="1"/>
        <v>000.000.288-00</v>
      </c>
      <c r="G52" s="2">
        <v>48</v>
      </c>
      <c r="H52" s="2">
        <f ca="1">IF(G52="", DATEDIF(J52, TODAY(), "Y"), G52)</f>
        <v>48</v>
      </c>
      <c r="I52" s="6">
        <v>28430</v>
      </c>
      <c r="J52" s="6">
        <f t="shared" si="2"/>
        <v>28430</v>
      </c>
      <c r="K52" s="2" t="s">
        <v>56</v>
      </c>
      <c r="L52" s="2" t="str" cm="1">
        <f t="array" ref="L52">_xlfn.TEXTSPLIT(K52,"|")</f>
        <v>Pyke</v>
      </c>
      <c r="M52" s="2" t="s">
        <v>57</v>
      </c>
      <c r="N52" s="3">
        <v>4500</v>
      </c>
      <c r="O52" s="3">
        <f t="shared" si="3"/>
        <v>4500</v>
      </c>
      <c r="P52" s="4">
        <v>0</v>
      </c>
      <c r="Q52" s="5">
        <f t="shared" si="11"/>
        <v>0</v>
      </c>
      <c r="R52" s="2" t="s">
        <v>46</v>
      </c>
      <c r="S52" s="2" t="str">
        <f t="shared" si="10"/>
        <v>Não</v>
      </c>
      <c r="T52" s="2" t="str">
        <f t="shared" si="4"/>
        <v>Não</v>
      </c>
      <c r="U52" s="2">
        <v>3</v>
      </c>
      <c r="V52" s="2">
        <f t="shared" si="5"/>
        <v>3</v>
      </c>
      <c r="W52" s="2" t="str">
        <f t="shared" si="6"/>
        <v>baixo</v>
      </c>
      <c r="X52" s="5">
        <v>48500</v>
      </c>
      <c r="Y52" t="str">
        <f t="shared" si="7"/>
        <v>Positivo</v>
      </c>
      <c r="Z52" t="str">
        <f t="shared" si="8"/>
        <v>Positivo</v>
      </c>
      <c r="AA52" s="1">
        <f>IF(AND(Y52="Negativo",Z52="Negativo"),0,IF(AND(B52="Ativo",OR(Y52="Positivo",Z52="Positivo")),X52*8%,0))</f>
        <v>3880</v>
      </c>
    </row>
    <row r="53" spans="1:27">
      <c r="A53" s="2" t="s">
        <v>30</v>
      </c>
      <c r="B53" s="2" t="str">
        <f t="shared" si="0"/>
        <v>Inativo</v>
      </c>
      <c r="C53" s="2" t="s">
        <v>40</v>
      </c>
      <c r="D53" s="2" t="str">
        <f t="shared" si="9"/>
        <v>Jorah Dondarrion</v>
      </c>
      <c r="E53" s="2" t="s">
        <v>165</v>
      </c>
      <c r="F53" s="2" t="str">
        <f t="shared" si="1"/>
        <v>000.000.294-00</v>
      </c>
      <c r="G53" s="2">
        <v>39</v>
      </c>
      <c r="H53" s="2">
        <f ca="1">IF(G53="", DATEDIF(J53, TODAY(), "Y"), G53)</f>
        <v>39</v>
      </c>
      <c r="I53" s="6">
        <v>31693</v>
      </c>
      <c r="J53" s="6">
        <f t="shared" si="2"/>
        <v>31693</v>
      </c>
      <c r="K53" s="2" t="s">
        <v>49</v>
      </c>
      <c r="L53" s="2" t="str" cm="1">
        <f t="array" ref="L53">_xlfn.TEXTSPLIT(K53,"|")</f>
        <v>Lannisporto</v>
      </c>
      <c r="M53" s="2" t="s">
        <v>53</v>
      </c>
      <c r="N53" s="3">
        <v>22200</v>
      </c>
      <c r="O53" s="3">
        <f t="shared" si="3"/>
        <v>22200</v>
      </c>
      <c r="P53" s="4">
        <v>0</v>
      </c>
      <c r="Q53" s="5">
        <f t="shared" si="11"/>
        <v>0</v>
      </c>
      <c r="R53" s="2" t="s">
        <v>29</v>
      </c>
      <c r="S53" s="2" t="str">
        <f t="shared" si="10"/>
        <v>Sim</v>
      </c>
      <c r="T53" s="2" t="str">
        <f t="shared" si="4"/>
        <v>Sim</v>
      </c>
      <c r="U53" s="2">
        <v>3</v>
      </c>
      <c r="V53" s="2">
        <f t="shared" si="5"/>
        <v>3</v>
      </c>
      <c r="W53" s="2" t="str">
        <f t="shared" si="6"/>
        <v>baixo</v>
      </c>
      <c r="X53" s="5">
        <v>7000</v>
      </c>
      <c r="Y53" t="str">
        <f t="shared" si="7"/>
        <v>Positivo</v>
      </c>
      <c r="Z53" t="str">
        <f t="shared" si="8"/>
        <v>Positivo</v>
      </c>
      <c r="AA53" s="1">
        <f>IF(AND(Y53="Negativo",Z53="Negativo"),0,IF(AND(B53="Ativo",OR(Y53="Positivo",Z53="Positivo")),X53*8%,0))</f>
        <v>0</v>
      </c>
    </row>
    <row r="54" spans="1:27">
      <c r="A54" s="2" t="s">
        <v>24</v>
      </c>
      <c r="B54" s="2" t="str">
        <f t="shared" si="0"/>
        <v>Ativo</v>
      </c>
      <c r="C54" s="2" t="s">
        <v>166</v>
      </c>
      <c r="D54" s="2" t="str">
        <f t="shared" si="9"/>
        <v>Aegon Frey</v>
      </c>
      <c r="E54" s="2" t="s">
        <v>167</v>
      </c>
      <c r="F54" s="2" t="str">
        <f t="shared" si="1"/>
        <v>000.000.338-00</v>
      </c>
      <c r="G54" s="2">
        <v>56</v>
      </c>
      <c r="H54" s="2">
        <f ca="1">IF(G54="", DATEDIF(J54, TODAY(), "Y"), G54)</f>
        <v>56</v>
      </c>
      <c r="I54" s="6">
        <v>25525</v>
      </c>
      <c r="J54" s="6">
        <f t="shared" si="2"/>
        <v>25525</v>
      </c>
      <c r="K54" s="2" t="s">
        <v>121</v>
      </c>
      <c r="L54" s="2" t="str" cm="1">
        <f t="array" ref="L54">_xlfn.TEXTSPLIT(K54,"|")</f>
        <v>Dorne</v>
      </c>
      <c r="M54" s="2" t="s">
        <v>121</v>
      </c>
      <c r="N54" s="3">
        <v>11100</v>
      </c>
      <c r="O54" s="3">
        <f t="shared" si="3"/>
        <v>11100</v>
      </c>
      <c r="P54" s="4">
        <v>63000</v>
      </c>
      <c r="Q54" s="5">
        <f t="shared" si="11"/>
        <v>63000</v>
      </c>
      <c r="R54" s="2" t="s">
        <v>46</v>
      </c>
      <c r="S54" s="2" t="str">
        <f t="shared" si="10"/>
        <v>Não</v>
      </c>
      <c r="T54" s="2" t="str">
        <f t="shared" si="4"/>
        <v>Não</v>
      </c>
      <c r="U54" s="2">
        <v>0</v>
      </c>
      <c r="V54" s="2">
        <f t="shared" si="5"/>
        <v>0</v>
      </c>
      <c r="W54" s="2" t="str">
        <f t="shared" si="6"/>
        <v>baixo</v>
      </c>
      <c r="X54" s="5">
        <v>56000</v>
      </c>
      <c r="Y54" t="str">
        <f t="shared" si="7"/>
        <v>Positivo</v>
      </c>
      <c r="Z54" t="str">
        <f t="shared" si="8"/>
        <v>Positivo</v>
      </c>
      <c r="AA54" s="1">
        <f>IF(AND(Y54="Negativo",Z54="Negativo"),0,IF(AND(B54="Ativo",OR(Y54="Positivo",Z54="Positivo")),X54*8%,0))</f>
        <v>4480</v>
      </c>
    </row>
    <row r="55" spans="1:27">
      <c r="A55" s="2" t="s">
        <v>24</v>
      </c>
      <c r="B55" s="2" t="str">
        <f t="shared" si="0"/>
        <v>Ativo</v>
      </c>
      <c r="C55" s="2" t="s">
        <v>168</v>
      </c>
      <c r="D55" s="2" t="str">
        <f t="shared" si="9"/>
        <v>Daenerys Snow</v>
      </c>
      <c r="E55" s="2">
        <v>14200</v>
      </c>
      <c r="F55" s="2" t="str">
        <f t="shared" si="1"/>
        <v>000.000.142-00</v>
      </c>
      <c r="G55" s="2">
        <v>48</v>
      </c>
      <c r="H55" s="2">
        <f ca="1">IF(G55="", DATEDIF(J55, TODAY(), "Y"), G55)</f>
        <v>48</v>
      </c>
      <c r="I55" s="6">
        <v>28681</v>
      </c>
      <c r="J55" s="6">
        <f t="shared" si="2"/>
        <v>28681</v>
      </c>
      <c r="K55" s="2" t="s">
        <v>169</v>
      </c>
      <c r="L55" s="2" t="str" cm="1">
        <f t="array" ref="L55:M55">_xlfn.TEXTSPLIT(K55,"|")</f>
        <v xml:space="preserve">Dorne </v>
      </c>
      <c r="M55" s="2" t="str">
        <v xml:space="preserve"> Dorne</v>
      </c>
      <c r="N55" s="3">
        <v>15800</v>
      </c>
      <c r="O55" s="3">
        <f t="shared" si="3"/>
        <v>15800</v>
      </c>
      <c r="P55" s="4" t="s">
        <v>38</v>
      </c>
      <c r="Q55" s="5" t="str">
        <f t="shared" si="11"/>
        <v>N/A</v>
      </c>
      <c r="R55" s="2" t="s">
        <v>46</v>
      </c>
      <c r="S55" s="2" t="str">
        <f t="shared" si="10"/>
        <v>Não</v>
      </c>
      <c r="T55" s="2" t="str">
        <f t="shared" si="4"/>
        <v>Não</v>
      </c>
      <c r="U55" s="2">
        <v>12</v>
      </c>
      <c r="V55" s="2">
        <f t="shared" si="5"/>
        <v>12</v>
      </c>
      <c r="W55" s="2" t="str">
        <f t="shared" si="6"/>
        <v>médio</v>
      </c>
      <c r="X55" s="5">
        <v>69500</v>
      </c>
      <c r="Y55" t="str">
        <f t="shared" si="7"/>
        <v>Positivo</v>
      </c>
      <c r="Z55" t="str">
        <f t="shared" si="8"/>
        <v>Negativo</v>
      </c>
      <c r="AA55" s="1">
        <f>IF(AND(Y55="Negativo",Z55="Negativo"),0,IF(AND(B55="Ativo",OR(Y55="Positivo",Z55="Positivo")),X55*8%,0))</f>
        <v>5560</v>
      </c>
    </row>
    <row r="56" spans="1:27">
      <c r="A56" s="2" t="s">
        <v>24</v>
      </c>
      <c r="B56" s="2" t="str">
        <f t="shared" si="0"/>
        <v>Ativo</v>
      </c>
      <c r="C56" s="2" t="s">
        <v>170</v>
      </c>
      <c r="D56" s="2" t="str">
        <f t="shared" si="9"/>
        <v>Asha Baratheon</v>
      </c>
      <c r="E56" s="2" t="s">
        <v>171</v>
      </c>
      <c r="F56" s="2" t="str">
        <f t="shared" si="1"/>
        <v>000.000.195-00</v>
      </c>
      <c r="G56" s="2">
        <v>70</v>
      </c>
      <c r="H56" s="2">
        <f ca="1">IF(G56="", DATEDIF(J56, TODAY(), "Y"), G56)</f>
        <v>70</v>
      </c>
      <c r="I56" s="6">
        <v>20570</v>
      </c>
      <c r="J56" s="6">
        <f t="shared" si="2"/>
        <v>20570</v>
      </c>
      <c r="K56" s="2" t="s">
        <v>68</v>
      </c>
      <c r="L56" s="2" t="str" cm="1">
        <f t="array" ref="L56">_xlfn.TEXTSPLIT(K56,"|")</f>
        <v>Braavos</v>
      </c>
      <c r="M56" s="2" t="s">
        <v>64</v>
      </c>
      <c r="N56" s="3">
        <v>16300</v>
      </c>
      <c r="O56" s="3">
        <f t="shared" si="3"/>
        <v>16300</v>
      </c>
      <c r="P56" s="4">
        <v>16500</v>
      </c>
      <c r="Q56" s="5">
        <f t="shared" si="11"/>
        <v>16500</v>
      </c>
      <c r="R56" s="2" t="s">
        <v>46</v>
      </c>
      <c r="S56" s="2" t="str">
        <f t="shared" si="10"/>
        <v>Não</v>
      </c>
      <c r="T56" s="2" t="str">
        <f t="shared" si="4"/>
        <v>Não</v>
      </c>
      <c r="U56" s="2">
        <v>25</v>
      </c>
      <c r="V56" s="2">
        <f t="shared" si="5"/>
        <v>25</v>
      </c>
      <c r="W56" s="2" t="str">
        <f t="shared" si="6"/>
        <v>médio</v>
      </c>
      <c r="X56" s="5">
        <v>65500</v>
      </c>
      <c r="Y56" t="str">
        <f t="shared" si="7"/>
        <v>Positivo</v>
      </c>
      <c r="Z56" t="str">
        <f t="shared" si="8"/>
        <v>Positivo</v>
      </c>
      <c r="AA56" s="1">
        <f>IF(AND(Y56="Negativo",Z56="Negativo"),0,IF(AND(B56="Ativo",OR(Y56="Positivo",Z56="Positivo")),X56*8%,0))</f>
        <v>5240</v>
      </c>
    </row>
    <row r="57" spans="1:27">
      <c r="A57" s="2" t="s">
        <v>50</v>
      </c>
      <c r="B57" s="2" t="str">
        <f t="shared" si="0"/>
        <v>Ativo</v>
      </c>
      <c r="C57" s="2" t="s">
        <v>172</v>
      </c>
      <c r="D57" s="2" t="str">
        <f t="shared" si="9"/>
        <v>Rickon Crakehall</v>
      </c>
      <c r="E57" s="2" t="s">
        <v>173</v>
      </c>
      <c r="F57" s="2" t="str">
        <f t="shared" si="1"/>
        <v>000.000.066-00</v>
      </c>
      <c r="G57" s="2">
        <v>24</v>
      </c>
      <c r="H57" s="2">
        <f ca="1">IF(G57="", DATEDIF(J57, TODAY(), "Y"), G57)</f>
        <v>24</v>
      </c>
      <c r="I57" s="2">
        <v>37435</v>
      </c>
      <c r="J57" s="6">
        <f t="shared" si="2"/>
        <v>37435</v>
      </c>
      <c r="K57" s="2" t="s">
        <v>174</v>
      </c>
      <c r="L57" s="2" t="str" cm="1">
        <f t="array" ref="L57">_xlfn.TEXTSPLIT(K57,"|")</f>
        <v>Atalaia da Água Cinzenta</v>
      </c>
      <c r="M57" s="2" t="s">
        <v>175</v>
      </c>
      <c r="N57" s="3">
        <v>6100</v>
      </c>
      <c r="O57" s="3">
        <f t="shared" si="3"/>
        <v>6100</v>
      </c>
      <c r="Q57" s="5">
        <f t="shared" si="11"/>
        <v>0</v>
      </c>
      <c r="R57" s="2" t="s">
        <v>176</v>
      </c>
      <c r="S57" s="2" t="str">
        <f t="shared" si="10"/>
        <v>NÃO</v>
      </c>
      <c r="T57" s="2" t="str">
        <f t="shared" si="4"/>
        <v>Não</v>
      </c>
      <c r="U57" s="2">
        <v>15</v>
      </c>
      <c r="V57" s="2">
        <f t="shared" si="5"/>
        <v>15</v>
      </c>
      <c r="W57" s="2" t="str">
        <f t="shared" si="6"/>
        <v>médio</v>
      </c>
      <c r="X57" s="5">
        <v>67000</v>
      </c>
      <c r="Y57" t="str">
        <f t="shared" si="7"/>
        <v>Positivo</v>
      </c>
      <c r="Z57" t="str">
        <f t="shared" si="8"/>
        <v>Positivo</v>
      </c>
      <c r="AA57" s="1">
        <f>IF(AND(Y57="Negativo",Z57="Negativo"),0,IF(AND(B57="Ativo",OR(Y57="Positivo",Z57="Positivo")),X57*8%,0))</f>
        <v>5360</v>
      </c>
    </row>
    <row r="58" spans="1:27">
      <c r="A58" s="2" t="s">
        <v>24</v>
      </c>
      <c r="B58" s="2" t="str">
        <f t="shared" si="0"/>
        <v>Ativo</v>
      </c>
      <c r="C58" s="2" t="s">
        <v>177</v>
      </c>
      <c r="D58" s="2" t="str">
        <f t="shared" si="9"/>
        <v>Eddard Mallister</v>
      </c>
      <c r="E58" s="2" t="s">
        <v>178</v>
      </c>
      <c r="F58" s="2" t="str">
        <f t="shared" si="1"/>
        <v>000.000.309-00</v>
      </c>
      <c r="G58" s="2">
        <v>47</v>
      </c>
      <c r="H58" s="2">
        <f ca="1">IF(G58="", DATEDIF(J58, TODAY(), "Y"), G58)</f>
        <v>47</v>
      </c>
      <c r="I58" s="2">
        <v>28802</v>
      </c>
      <c r="J58" s="6">
        <f t="shared" si="2"/>
        <v>28802</v>
      </c>
      <c r="K58" s="2" t="s">
        <v>174</v>
      </c>
      <c r="L58" s="2" t="str" cm="1">
        <f t="array" ref="L58">_xlfn.TEXTSPLIT(K58,"|")</f>
        <v>Atalaia da Água Cinzenta</v>
      </c>
      <c r="M58" s="2" t="s">
        <v>179</v>
      </c>
      <c r="N58" s="3">
        <v>22700</v>
      </c>
      <c r="O58" s="3">
        <f t="shared" si="3"/>
        <v>22700</v>
      </c>
      <c r="P58" s="4">
        <v>8500</v>
      </c>
      <c r="Q58" s="5">
        <f t="shared" si="11"/>
        <v>8500</v>
      </c>
      <c r="S58" s="2" t="str">
        <f t="shared" si="10"/>
        <v/>
      </c>
      <c r="T58" s="2" t="str">
        <f t="shared" si="4"/>
        <v>Não</v>
      </c>
      <c r="U58" s="2">
        <v>35</v>
      </c>
      <c r="V58" s="2">
        <f t="shared" si="5"/>
        <v>35</v>
      </c>
      <c r="W58" s="2" t="str">
        <f t="shared" si="6"/>
        <v>alto</v>
      </c>
      <c r="X58" s="5">
        <v>23500</v>
      </c>
      <c r="Y58" t="str">
        <f t="shared" si="7"/>
        <v>Positivo</v>
      </c>
      <c r="Z58" t="str">
        <f t="shared" si="8"/>
        <v>Positivo</v>
      </c>
      <c r="AA58" s="1">
        <f>IF(AND(Y58="Negativo",Z58="Negativo"),0,IF(AND(B58="Ativo",OR(Y58="Positivo",Z58="Positivo")),X58*8%,0))</f>
        <v>1880</v>
      </c>
    </row>
    <row r="59" spans="1:27">
      <c r="A59" s="2" t="s">
        <v>24</v>
      </c>
      <c r="B59" s="2" t="str">
        <f t="shared" si="0"/>
        <v>Ativo</v>
      </c>
      <c r="C59" s="2" t="s">
        <v>180</v>
      </c>
      <c r="D59" s="2" t="str">
        <f t="shared" si="9"/>
        <v>Daario Clegane</v>
      </c>
      <c r="E59" s="2" t="s">
        <v>181</v>
      </c>
      <c r="F59" s="2" t="str">
        <f t="shared" si="1"/>
        <v>000.000.270-00</v>
      </c>
      <c r="G59" s="2">
        <v>33</v>
      </c>
      <c r="H59" s="2">
        <f ca="1">IF(G59="", DATEDIF(J59, TODAY(), "Y"), G59)</f>
        <v>33</v>
      </c>
      <c r="I59" s="6">
        <v>33881</v>
      </c>
      <c r="J59" s="6">
        <f t="shared" si="2"/>
        <v>33881</v>
      </c>
      <c r="K59" s="2" t="s">
        <v>80</v>
      </c>
      <c r="L59" s="2" t="str" cm="1">
        <f t="array" ref="L59">_xlfn.TEXTSPLIT(K59,"|")</f>
        <v>Castelo Negro</v>
      </c>
      <c r="M59" s="2" t="s">
        <v>93</v>
      </c>
      <c r="N59" s="3">
        <v>29700</v>
      </c>
      <c r="O59" s="3">
        <f t="shared" si="3"/>
        <v>29700</v>
      </c>
      <c r="P59" s="4">
        <v>22000</v>
      </c>
      <c r="Q59" s="5">
        <f t="shared" si="11"/>
        <v>22000</v>
      </c>
      <c r="R59" s="2" t="s">
        <v>46</v>
      </c>
      <c r="S59" s="2" t="str">
        <f t="shared" si="10"/>
        <v>Não</v>
      </c>
      <c r="T59" s="2" t="str">
        <f t="shared" si="4"/>
        <v>Não</v>
      </c>
      <c r="U59" s="2">
        <v>38</v>
      </c>
      <c r="V59" s="2">
        <f t="shared" si="5"/>
        <v>38</v>
      </c>
      <c r="W59" s="2" t="str">
        <f t="shared" si="6"/>
        <v>alto</v>
      </c>
      <c r="X59" s="5">
        <v>81000</v>
      </c>
      <c r="Y59" t="str">
        <f t="shared" si="7"/>
        <v>Positivo</v>
      </c>
      <c r="Z59" t="str">
        <f t="shared" si="8"/>
        <v>Positivo</v>
      </c>
      <c r="AA59" s="1">
        <f>IF(AND(Y59="Negativo",Z59="Negativo"),0,IF(AND(B59="Ativo",OR(Y59="Positivo",Z59="Positivo")),X59*8%,0))</f>
        <v>6480</v>
      </c>
    </row>
    <row r="60" spans="1:27">
      <c r="A60" s="2" t="s">
        <v>30</v>
      </c>
      <c r="B60" s="2" t="str">
        <f t="shared" si="0"/>
        <v>Inativo</v>
      </c>
      <c r="C60" s="2" t="s">
        <v>182</v>
      </c>
      <c r="D60" s="2" t="str">
        <f t="shared" si="9"/>
        <v>Ellaria Mallister</v>
      </c>
      <c r="E60" s="2" t="s">
        <v>183</v>
      </c>
      <c r="F60" s="2" t="str">
        <f t="shared" si="1"/>
        <v>000.000.194-00</v>
      </c>
      <c r="G60" s="2">
        <v>38</v>
      </c>
      <c r="H60" s="2">
        <f ca="1">IF(G60="", DATEDIF(J60, TODAY(), "Y"), G60)</f>
        <v>38</v>
      </c>
      <c r="I60" s="6">
        <v>32102</v>
      </c>
      <c r="J60" s="6">
        <f t="shared" si="2"/>
        <v>32102</v>
      </c>
      <c r="K60" s="2" t="s">
        <v>56</v>
      </c>
      <c r="L60" s="2" t="str" cm="1">
        <f t="array" ref="L60">_xlfn.TEXTSPLIT(K60,"|")</f>
        <v>Pyke</v>
      </c>
      <c r="M60" s="2" t="s">
        <v>60</v>
      </c>
      <c r="N60" s="3">
        <v>13500</v>
      </c>
      <c r="O60" s="3">
        <f t="shared" si="3"/>
        <v>13500</v>
      </c>
      <c r="P60" s="4">
        <v>24000</v>
      </c>
      <c r="Q60" s="5">
        <f t="shared" si="11"/>
        <v>24000</v>
      </c>
      <c r="R60" s="2" t="s">
        <v>46</v>
      </c>
      <c r="S60" s="2" t="str">
        <f t="shared" si="10"/>
        <v>Não</v>
      </c>
      <c r="T60" s="2" t="str">
        <f t="shared" si="4"/>
        <v>Não</v>
      </c>
      <c r="U60" s="2">
        <v>2</v>
      </c>
      <c r="V60" s="2">
        <f t="shared" si="5"/>
        <v>2</v>
      </c>
      <c r="W60" s="2" t="str">
        <f t="shared" si="6"/>
        <v>baixo</v>
      </c>
      <c r="X60" s="5">
        <v>17500</v>
      </c>
      <c r="Y60" t="str">
        <f t="shared" si="7"/>
        <v>Positivo</v>
      </c>
      <c r="Z60" t="str">
        <f t="shared" si="8"/>
        <v>Positivo</v>
      </c>
      <c r="AA60" s="1">
        <f>IF(AND(Y60="Negativo",Z60="Negativo"),0,IF(AND(B60="Ativo",OR(Y60="Positivo",Z60="Positivo")),X60*8%,0))</f>
        <v>0</v>
      </c>
    </row>
    <row r="61" spans="1:27">
      <c r="A61" s="2" t="s">
        <v>30</v>
      </c>
      <c r="B61" s="2" t="str">
        <f t="shared" si="0"/>
        <v>Inativo</v>
      </c>
      <c r="C61" s="2" t="s">
        <v>184</v>
      </c>
      <c r="D61" s="2" t="str">
        <f t="shared" si="9"/>
        <v>Stannis  Cerwyn</v>
      </c>
      <c r="E61" s="2">
        <v>3400</v>
      </c>
      <c r="F61" s="2" t="str">
        <f t="shared" si="1"/>
        <v>000.000.034-00</v>
      </c>
      <c r="G61" s="2">
        <v>35</v>
      </c>
      <c r="H61" s="2">
        <f ca="1">IF(G61="", DATEDIF(J61, TODAY(), "Y"), G61)</f>
        <v>35</v>
      </c>
      <c r="I61" s="6">
        <v>33204</v>
      </c>
      <c r="J61" s="6">
        <f t="shared" si="2"/>
        <v>33204</v>
      </c>
      <c r="K61" s="2" t="s">
        <v>107</v>
      </c>
      <c r="L61" s="2" t="str" cm="1">
        <f t="array" ref="L61">_xlfn.TEXTSPLIT(K61,"|")</f>
        <v>Winterfell</v>
      </c>
      <c r="M61" s="2" t="s">
        <v>114</v>
      </c>
      <c r="N61" s="3">
        <v>17600</v>
      </c>
      <c r="O61" s="3">
        <f t="shared" si="3"/>
        <v>17600</v>
      </c>
      <c r="P61" s="4">
        <v>44000</v>
      </c>
      <c r="Q61" s="5">
        <f t="shared" si="11"/>
        <v>44000</v>
      </c>
      <c r="R61" s="2" t="s">
        <v>176</v>
      </c>
      <c r="S61" s="2" t="str">
        <f t="shared" si="10"/>
        <v>NÃO</v>
      </c>
      <c r="T61" s="2" t="str">
        <f t="shared" si="4"/>
        <v>Não</v>
      </c>
      <c r="U61" s="2">
        <v>22</v>
      </c>
      <c r="V61" s="2">
        <f t="shared" si="5"/>
        <v>22</v>
      </c>
      <c r="W61" s="2" t="str">
        <f t="shared" si="6"/>
        <v>médio</v>
      </c>
      <c r="X61" s="5">
        <v>56500</v>
      </c>
      <c r="Y61" t="str">
        <f t="shared" si="7"/>
        <v>Positivo</v>
      </c>
      <c r="Z61" t="str">
        <f t="shared" si="8"/>
        <v>Positivo</v>
      </c>
      <c r="AA61" s="1">
        <f>IF(AND(Y61="Negativo",Z61="Negativo"),0,IF(AND(B61="Ativo",OR(Y61="Positivo",Z61="Positivo")),X61*8%,0))</f>
        <v>0</v>
      </c>
    </row>
    <row r="62" spans="1:27">
      <c r="A62" s="2" t="s">
        <v>30</v>
      </c>
      <c r="B62" s="2" t="str">
        <f t="shared" si="0"/>
        <v>Inativo</v>
      </c>
      <c r="C62" s="2" t="s">
        <v>185</v>
      </c>
      <c r="D62" s="2" t="str">
        <f t="shared" si="9"/>
        <v>Ellaria Tarly</v>
      </c>
      <c r="E62" s="2" t="s">
        <v>186</v>
      </c>
      <c r="F62" s="2" t="str">
        <f t="shared" si="1"/>
        <v>000.000.026-00</v>
      </c>
      <c r="G62" s="2">
        <v>67</v>
      </c>
      <c r="H62" s="2">
        <f ca="1">IF(G62="", DATEDIF(J62, TODAY(), "Y"), G62)</f>
        <v>67</v>
      </c>
      <c r="I62" s="2">
        <v>21512</v>
      </c>
      <c r="J62" s="6">
        <f t="shared" si="2"/>
        <v>21512</v>
      </c>
      <c r="K62" s="2" t="s">
        <v>68</v>
      </c>
      <c r="L62" s="2" t="str" cm="1">
        <f t="array" ref="L62">_xlfn.TEXTSPLIT(K62,"|")</f>
        <v>Braavos</v>
      </c>
      <c r="M62" s="2" t="s">
        <v>187</v>
      </c>
      <c r="N62" s="3">
        <v>3200</v>
      </c>
      <c r="O62" s="3">
        <f t="shared" si="3"/>
        <v>3200</v>
      </c>
      <c r="P62" s="4">
        <v>6500</v>
      </c>
      <c r="Q62" s="5">
        <f t="shared" si="11"/>
        <v>6500</v>
      </c>
      <c r="R62" s="2" t="s">
        <v>46</v>
      </c>
      <c r="S62" s="2" t="str">
        <f t="shared" si="10"/>
        <v>Não</v>
      </c>
      <c r="T62" s="2" t="str">
        <f t="shared" si="4"/>
        <v>Não</v>
      </c>
      <c r="U62" s="2">
        <v>20</v>
      </c>
      <c r="V62" s="2">
        <f t="shared" si="5"/>
        <v>20</v>
      </c>
      <c r="W62" s="2" t="str">
        <f t="shared" si="6"/>
        <v>médio</v>
      </c>
      <c r="X62" s="5">
        <v>52500</v>
      </c>
      <c r="Y62" t="str">
        <f t="shared" si="7"/>
        <v>Positivo</v>
      </c>
      <c r="Z62" t="str">
        <f t="shared" si="8"/>
        <v>Positivo</v>
      </c>
      <c r="AA62" s="1">
        <f>IF(AND(Y62="Negativo",Z62="Negativo"),0,IF(AND(B62="Ativo",OR(Y62="Positivo",Z62="Positivo")),X62*8%,0))</f>
        <v>0</v>
      </c>
    </row>
    <row r="63" spans="1:27">
      <c r="A63" s="2" t="s">
        <v>188</v>
      </c>
      <c r="B63" s="2" t="str">
        <f t="shared" si="0"/>
        <v>Ativo</v>
      </c>
      <c r="C63" s="2" t="s">
        <v>189</v>
      </c>
      <c r="D63" s="2" t="str">
        <f t="shared" si="9"/>
        <v>Daario Tyrell</v>
      </c>
      <c r="E63" s="2" t="s">
        <v>190</v>
      </c>
      <c r="F63" s="2" t="str">
        <f t="shared" si="1"/>
        <v>000.000.251-00</v>
      </c>
      <c r="G63" s="2">
        <v>51</v>
      </c>
      <c r="H63" s="2">
        <f ca="1">IF(G63="", DATEDIF(J63, TODAY(), "Y"), G63)</f>
        <v>51</v>
      </c>
      <c r="I63" s="6">
        <v>27377</v>
      </c>
      <c r="J63" s="6">
        <f t="shared" si="2"/>
        <v>27377</v>
      </c>
      <c r="K63" s="2" t="s">
        <v>56</v>
      </c>
      <c r="L63" s="2" t="str" cm="1">
        <f t="array" ref="L63">_xlfn.TEXTSPLIT(K63,"|")</f>
        <v>Pyke</v>
      </c>
      <c r="M63" s="2" t="s">
        <v>57</v>
      </c>
      <c r="N63" s="3">
        <v>16300</v>
      </c>
      <c r="O63" s="3">
        <f t="shared" si="3"/>
        <v>16300</v>
      </c>
      <c r="Q63" s="5">
        <f t="shared" si="11"/>
        <v>0</v>
      </c>
      <c r="R63" s="2" t="s">
        <v>128</v>
      </c>
      <c r="S63" s="2" t="str">
        <f t="shared" si="10"/>
        <v>Nao</v>
      </c>
      <c r="T63" s="2" t="str">
        <f t="shared" si="4"/>
        <v>Não</v>
      </c>
      <c r="U63" s="2">
        <v>8</v>
      </c>
      <c r="V63" s="2">
        <f t="shared" si="5"/>
        <v>8</v>
      </c>
      <c r="W63" s="2" t="str">
        <f t="shared" si="6"/>
        <v>baixo</v>
      </c>
      <c r="X63" s="5">
        <v>33000</v>
      </c>
      <c r="Y63" t="str">
        <f t="shared" si="7"/>
        <v>Positivo</v>
      </c>
      <c r="Z63" t="str">
        <f t="shared" si="8"/>
        <v>Positivo</v>
      </c>
      <c r="AA63" s="1">
        <f>IF(AND(Y63="Negativo",Z63="Negativo"),0,IF(AND(B63="Ativo",OR(Y63="Positivo",Z63="Positivo")),X63*8%,0))</f>
        <v>2640</v>
      </c>
    </row>
    <row r="64" spans="1:27">
      <c r="A64" s="2" t="s">
        <v>30</v>
      </c>
      <c r="B64" s="2" t="str">
        <f t="shared" si="0"/>
        <v>Inativo</v>
      </c>
      <c r="C64" s="2" t="s">
        <v>191</v>
      </c>
      <c r="D64" s="2" t="str">
        <f t="shared" si="9"/>
        <v>Daario Marbrand</v>
      </c>
      <c r="E64" s="2" t="s">
        <v>192</v>
      </c>
      <c r="F64" s="2" t="str">
        <f t="shared" si="1"/>
        <v>000.000.014-00</v>
      </c>
      <c r="G64" s="2">
        <v>46</v>
      </c>
      <c r="H64" s="2">
        <f ca="1">IF(G64="", DATEDIF(J64, TODAY(), "Y"), G64)</f>
        <v>46</v>
      </c>
      <c r="I64" s="6">
        <v>29113</v>
      </c>
      <c r="J64" s="6">
        <f t="shared" si="2"/>
        <v>29113</v>
      </c>
      <c r="K64" s="2" t="s">
        <v>100</v>
      </c>
      <c r="L64" s="2" t="str" cm="1">
        <f t="array" ref="L64">_xlfn.TEXTSPLIT(K64,"|")</f>
        <v>Fosso Cailin</v>
      </c>
      <c r="M64" s="2" t="s">
        <v>81</v>
      </c>
      <c r="N64" s="3">
        <v>15000</v>
      </c>
      <c r="O64" s="3">
        <f t="shared" si="3"/>
        <v>15000</v>
      </c>
      <c r="P64" s="4">
        <v>32500</v>
      </c>
      <c r="Q64" s="5">
        <f t="shared" si="11"/>
        <v>32500</v>
      </c>
      <c r="R64" s="2" t="s">
        <v>46</v>
      </c>
      <c r="S64" s="2" t="str">
        <f t="shared" si="10"/>
        <v>Não</v>
      </c>
      <c r="T64" s="2" t="str">
        <f t="shared" si="4"/>
        <v>Não</v>
      </c>
      <c r="U64" s="2">
        <v>40</v>
      </c>
      <c r="V64" s="2">
        <f t="shared" si="5"/>
        <v>40</v>
      </c>
      <c r="W64" s="2" t="str">
        <f t="shared" si="6"/>
        <v>alto</v>
      </c>
      <c r="X64" s="5">
        <v>4500</v>
      </c>
      <c r="Y64" t="str">
        <f t="shared" si="7"/>
        <v>Positivo</v>
      </c>
      <c r="Z64" t="str">
        <f t="shared" si="8"/>
        <v>Positivo</v>
      </c>
      <c r="AA64" s="1">
        <f>IF(AND(Y64="Negativo",Z64="Negativo"),0,IF(AND(B64="Ativo",OR(Y64="Positivo",Z64="Positivo")),X64*8%,0))</f>
        <v>0</v>
      </c>
    </row>
    <row r="65" spans="1:27">
      <c r="A65" s="2" t="s">
        <v>24</v>
      </c>
      <c r="B65" s="2" t="str">
        <f t="shared" si="0"/>
        <v>Ativo</v>
      </c>
      <c r="C65" s="2" t="s">
        <v>193</v>
      </c>
      <c r="D65" s="2" t="str">
        <f t="shared" si="9"/>
        <v>Thoros Tarth</v>
      </c>
      <c r="E65" s="2">
        <v>23900</v>
      </c>
      <c r="F65" s="2" t="str">
        <f t="shared" si="1"/>
        <v>000.000.239-00</v>
      </c>
      <c r="G65" s="2">
        <v>39</v>
      </c>
      <c r="H65" s="2">
        <f ca="1">IF(G65="", DATEDIF(J65, TODAY(), "Y"), G65)</f>
        <v>39</v>
      </c>
      <c r="I65" s="2">
        <v>31740</v>
      </c>
      <c r="J65" s="6">
        <f t="shared" si="2"/>
        <v>31740</v>
      </c>
      <c r="K65" s="2" t="s">
        <v>56</v>
      </c>
      <c r="L65" s="2" t="str" cm="1">
        <f t="array" ref="L65">_xlfn.TEXTSPLIT(K65,"|")</f>
        <v>Pyke</v>
      </c>
      <c r="M65" s="2" t="s">
        <v>194</v>
      </c>
      <c r="N65" s="3">
        <v>13200</v>
      </c>
      <c r="O65" s="3">
        <f t="shared" si="3"/>
        <v>13200</v>
      </c>
      <c r="P65" s="4" t="s">
        <v>38</v>
      </c>
      <c r="Q65" s="5" t="str">
        <f t="shared" si="11"/>
        <v>N/A</v>
      </c>
      <c r="R65" s="2" t="s">
        <v>46</v>
      </c>
      <c r="S65" s="2" t="str">
        <f t="shared" si="10"/>
        <v>Não</v>
      </c>
      <c r="T65" s="2" t="str">
        <f t="shared" si="4"/>
        <v>Não</v>
      </c>
      <c r="U65" s="2">
        <v>38</v>
      </c>
      <c r="V65" s="2">
        <f t="shared" si="5"/>
        <v>38</v>
      </c>
      <c r="W65" s="2" t="str">
        <f t="shared" si="6"/>
        <v>alto</v>
      </c>
      <c r="X65" s="5">
        <v>36000</v>
      </c>
      <c r="Y65" t="str">
        <f t="shared" si="7"/>
        <v>Positivo</v>
      </c>
      <c r="Z65" t="str">
        <f t="shared" si="8"/>
        <v>Negativo</v>
      </c>
      <c r="AA65" s="1">
        <f>IF(AND(Y65="Negativo",Z65="Negativo"),0,IF(AND(B65="Ativo",OR(Y65="Positivo",Z65="Positivo")),X65*8%,0))</f>
        <v>2880</v>
      </c>
    </row>
    <row r="66" spans="1:27">
      <c r="A66" s="2" t="s">
        <v>24</v>
      </c>
      <c r="B66" s="2" t="str">
        <f t="shared" si="0"/>
        <v>Ativo</v>
      </c>
      <c r="C66" s="2" t="s">
        <v>195</v>
      </c>
      <c r="D66" s="2" t="str">
        <f t="shared" si="9"/>
        <v>Arya Marbrand</v>
      </c>
      <c r="E66" s="2" t="s">
        <v>196</v>
      </c>
      <c r="F66" s="2" t="str">
        <f t="shared" si="1"/>
        <v>000.000.133-00</v>
      </c>
      <c r="G66" s="2">
        <v>24</v>
      </c>
      <c r="H66" s="2">
        <f ca="1">IF(G66="", DATEDIF(J66, TODAY(), "Y"), G66)</f>
        <v>24</v>
      </c>
      <c r="I66" s="2">
        <v>37172</v>
      </c>
      <c r="J66" s="6">
        <f t="shared" si="2"/>
        <v>37172</v>
      </c>
      <c r="K66" s="2" t="s">
        <v>27</v>
      </c>
      <c r="L66" s="2" t="str" cm="1">
        <f t="array" ref="L66">_xlfn.TEXTSPLIT(K66,"|")</f>
        <v>Ninho da Águia</v>
      </c>
      <c r="M66" s="2" t="s">
        <v>28</v>
      </c>
      <c r="N66" s="3">
        <v>21600</v>
      </c>
      <c r="O66" s="3">
        <f t="shared" si="3"/>
        <v>21600</v>
      </c>
      <c r="P66" s="4">
        <v>25000</v>
      </c>
      <c r="Q66" s="5">
        <f t="shared" si="11"/>
        <v>25000</v>
      </c>
      <c r="R66" s="2" t="s">
        <v>46</v>
      </c>
      <c r="S66" s="2" t="str">
        <f t="shared" si="10"/>
        <v>Não</v>
      </c>
      <c r="T66" s="2" t="str">
        <f t="shared" si="4"/>
        <v>Não</v>
      </c>
      <c r="U66" s="2">
        <v>33</v>
      </c>
      <c r="V66" s="2">
        <f t="shared" si="5"/>
        <v>33</v>
      </c>
      <c r="W66" s="2" t="str">
        <f t="shared" si="6"/>
        <v>alto</v>
      </c>
      <c r="X66" s="5">
        <v>17500</v>
      </c>
      <c r="Y66" t="str">
        <f t="shared" si="7"/>
        <v>Positivo</v>
      </c>
      <c r="Z66" t="str">
        <f t="shared" si="8"/>
        <v>Positivo</v>
      </c>
      <c r="AA66" s="1">
        <f>IF(AND(Y66="Negativo",Z66="Negativo"),0,IF(AND(B66="Ativo",OR(Y66="Positivo",Z66="Positivo")),X66*8%,0))</f>
        <v>1400</v>
      </c>
    </row>
    <row r="67" spans="1:27">
      <c r="A67" s="2" t="s">
        <v>24</v>
      </c>
      <c r="B67" s="2" t="str">
        <f t="shared" ref="B67:B130" si="12">IF(LEFT(A67,5)="Ativo", "Ativo", "Inativo")</f>
        <v>Ativo</v>
      </c>
      <c r="C67" s="2" t="s">
        <v>197</v>
      </c>
      <c r="D67" s="2" t="str">
        <f t="shared" ref="D67:D130" si="13">PROPER(C67)</f>
        <v>Davos Tyrell</v>
      </c>
      <c r="E67" s="2">
        <v>16100</v>
      </c>
      <c r="F67" s="2" t="str">
        <f t="shared" ref="F67:F130" si="14">TEXT(_xlfn.NUMBERVALUE(SUBSTITUTE(SUBSTITUTE(E67,".",""),"-","")), "000\.000\.000\-00")</f>
        <v>000.000.161-00</v>
      </c>
      <c r="G67" s="2">
        <v>57</v>
      </c>
      <c r="H67" s="2">
        <f ca="1">IF(G67="", DATEDIF(J67, TODAY(), "Y"), G67)</f>
        <v>57</v>
      </c>
      <c r="J67" s="6">
        <f t="shared" ref="J67:J130" si="15">I67</f>
        <v>0</v>
      </c>
      <c r="K67" s="2" t="s">
        <v>49</v>
      </c>
      <c r="L67" s="2" t="str" cm="1">
        <f t="array" ref="L67">_xlfn.TEXTSPLIT(K67,"|")</f>
        <v>Lannisporto</v>
      </c>
      <c r="M67" s="2" t="s">
        <v>131</v>
      </c>
      <c r="N67" s="3" t="s">
        <v>122</v>
      </c>
      <c r="O67" s="3" t="str">
        <f t="shared" ref="O67:O130" si="16">IF(OR(N67="", N67="sem renda"), "", N67)</f>
        <v/>
      </c>
      <c r="Q67" s="5">
        <f t="shared" ref="Q67:Q130" si="17">P67</f>
        <v>0</v>
      </c>
      <c r="R67" s="2" t="s">
        <v>29</v>
      </c>
      <c r="S67" s="2" t="str">
        <f t="shared" ref="S67:S130" si="18">IF(R67="", "", IF(R67=0, "não", IF(R67=1, "sim", R67)))</f>
        <v>Sim</v>
      </c>
      <c r="T67" s="2" t="str">
        <f t="shared" ref="T67:T130" si="19">IF(LEFT(UPPER(S67),1)="S", "Sim", "Não")</f>
        <v>Sim</v>
      </c>
      <c r="U67" s="2">
        <v>28</v>
      </c>
      <c r="V67" s="2">
        <f t="shared" ref="V67:V130" si="20">IF(U67="", 0, U67)</f>
        <v>28</v>
      </c>
      <c r="W67" s="2" t="str">
        <f t="shared" ref="W67:W130" si="21">IF(U67&lt;=10, "baixo", IF(U67&lt;=25, "médio", "alto"))</f>
        <v>alto</v>
      </c>
      <c r="X67" s="5">
        <v>13000</v>
      </c>
      <c r="Y67" t="str">
        <f t="shared" ref="Y67:Y130" si="22">IF(AND(W67="alto", S67="Sim"), "Negativo", "Positivo")</f>
        <v>Negativo</v>
      </c>
      <c r="Z67" t="str">
        <f t="shared" ref="Z67:Z130" si="23">IF(OR(Q67="N/A", AND(Q67&gt;50000, S67="Sim")), "Negativo", "Positivo")</f>
        <v>Positivo</v>
      </c>
      <c r="AA67" s="1">
        <f>IF(AND(Y67="Negativo",Z67="Negativo"),0,IF(AND(B67="Ativo",OR(Y67="Positivo",Z67="Positivo")),X67*8%,0))</f>
        <v>1040</v>
      </c>
    </row>
    <row r="68" spans="1:27">
      <c r="A68" s="2" t="s">
        <v>24</v>
      </c>
      <c r="B68" s="2" t="str">
        <f t="shared" si="12"/>
        <v>Ativo</v>
      </c>
      <c r="C68" s="2" t="s">
        <v>198</v>
      </c>
      <c r="D68" s="2" t="str">
        <f t="shared" si="13"/>
        <v>Lyanna Florent</v>
      </c>
      <c r="E68" s="2">
        <v>6300</v>
      </c>
      <c r="F68" s="2" t="str">
        <f t="shared" si="14"/>
        <v>000.000.063-00</v>
      </c>
      <c r="G68" s="2">
        <v>68</v>
      </c>
      <c r="H68" s="2">
        <f ca="1">IF(G68="", DATEDIF(J68, TODAY(), "Y"), G68)</f>
        <v>68</v>
      </c>
      <c r="J68" s="6">
        <f t="shared" si="15"/>
        <v>0</v>
      </c>
      <c r="K68" s="2" t="s">
        <v>36</v>
      </c>
      <c r="L68" s="2" t="str" cm="1">
        <f t="array" ref="L68">_xlfn.TEXTSPLIT(K68,"|")</f>
        <v>Pedra do Dragão</v>
      </c>
      <c r="M68" s="2" t="s">
        <v>37</v>
      </c>
      <c r="N68" s="3">
        <v>19900</v>
      </c>
      <c r="O68" s="3">
        <f t="shared" si="16"/>
        <v>19900</v>
      </c>
      <c r="P68" s="4">
        <v>35000</v>
      </c>
      <c r="Q68" s="5">
        <f t="shared" si="17"/>
        <v>35000</v>
      </c>
      <c r="R68" s="2" t="s">
        <v>128</v>
      </c>
      <c r="S68" s="2" t="str">
        <f t="shared" si="18"/>
        <v>Nao</v>
      </c>
      <c r="T68" s="2" t="str">
        <f t="shared" si="19"/>
        <v>Não</v>
      </c>
      <c r="U68" s="2">
        <v>25</v>
      </c>
      <c r="V68" s="2">
        <f t="shared" si="20"/>
        <v>25</v>
      </c>
      <c r="W68" s="2" t="str">
        <f t="shared" si="21"/>
        <v>médio</v>
      </c>
      <c r="X68" s="5">
        <v>59500</v>
      </c>
      <c r="Y68" t="str">
        <f t="shared" si="22"/>
        <v>Positivo</v>
      </c>
      <c r="Z68" t="str">
        <f t="shared" si="23"/>
        <v>Positivo</v>
      </c>
      <c r="AA68" s="1">
        <f>IF(AND(Y68="Negativo",Z68="Negativo"),0,IF(AND(B68="Ativo",OR(Y68="Positivo",Z68="Positivo")),X68*8%,0))</f>
        <v>4760</v>
      </c>
    </row>
    <row r="69" spans="1:27">
      <c r="A69" s="2" t="s">
        <v>24</v>
      </c>
      <c r="B69" s="2" t="str">
        <f t="shared" si="12"/>
        <v>Ativo</v>
      </c>
      <c r="C69" s="2" t="s">
        <v>199</v>
      </c>
      <c r="D69" s="2" t="str">
        <f t="shared" si="13"/>
        <v>Varys Bolton</v>
      </c>
      <c r="E69" s="2">
        <v>27200</v>
      </c>
      <c r="F69" s="2" t="str">
        <f t="shared" si="14"/>
        <v>000.000.272-00</v>
      </c>
      <c r="G69" s="2">
        <v>56</v>
      </c>
      <c r="H69" s="2">
        <f ca="1">IF(G69="", DATEDIF(J69, TODAY(), "Y"), G69)</f>
        <v>56</v>
      </c>
      <c r="I69" s="6">
        <v>25710</v>
      </c>
      <c r="J69" s="6">
        <f t="shared" si="15"/>
        <v>25710</v>
      </c>
      <c r="K69" s="2" t="s">
        <v>100</v>
      </c>
      <c r="L69" s="2" t="str" cm="1">
        <f t="array" ref="L69">_xlfn.TEXTSPLIT(K69,"|")</f>
        <v>Fosso Cailin</v>
      </c>
      <c r="M69" s="2" t="s">
        <v>81</v>
      </c>
      <c r="N69" s="3">
        <v>14100</v>
      </c>
      <c r="O69" s="3">
        <f t="shared" si="16"/>
        <v>14100</v>
      </c>
      <c r="P69" s="4">
        <v>1500</v>
      </c>
      <c r="Q69" s="5">
        <f t="shared" si="17"/>
        <v>1500</v>
      </c>
      <c r="R69" s="2" t="s">
        <v>46</v>
      </c>
      <c r="S69" s="2" t="str">
        <f t="shared" si="18"/>
        <v>Não</v>
      </c>
      <c r="T69" s="2" t="str">
        <f t="shared" si="19"/>
        <v>Não</v>
      </c>
      <c r="U69" s="2">
        <v>26</v>
      </c>
      <c r="V69" s="2">
        <f t="shared" si="20"/>
        <v>26</v>
      </c>
      <c r="W69" s="2" t="str">
        <f t="shared" si="21"/>
        <v>alto</v>
      </c>
      <c r="X69" s="5">
        <v>36000</v>
      </c>
      <c r="Y69" t="str">
        <f t="shared" si="22"/>
        <v>Positivo</v>
      </c>
      <c r="Z69" t="str">
        <f t="shared" si="23"/>
        <v>Positivo</v>
      </c>
      <c r="AA69" s="1">
        <f>IF(AND(Y69="Negativo",Z69="Negativo"),0,IF(AND(B69="Ativo",OR(Y69="Positivo",Z69="Positivo")),X69*8%,0))</f>
        <v>2880</v>
      </c>
    </row>
    <row r="70" spans="1:27">
      <c r="A70" s="2" t="s">
        <v>50</v>
      </c>
      <c r="B70" s="2" t="str">
        <f t="shared" si="12"/>
        <v>Ativo</v>
      </c>
      <c r="C70" s="2" t="s">
        <v>200</v>
      </c>
      <c r="D70" s="2" t="str">
        <f t="shared" si="13"/>
        <v>Shae Seaworth</v>
      </c>
      <c r="E70" s="2" t="s">
        <v>201</v>
      </c>
      <c r="F70" s="2" t="str">
        <f t="shared" si="14"/>
        <v>000.000.030-00</v>
      </c>
      <c r="G70" s="2">
        <v>33</v>
      </c>
      <c r="H70" s="2">
        <f ca="1">IF(G70="", DATEDIF(J70, TODAY(), "Y"), G70)</f>
        <v>33</v>
      </c>
      <c r="I70" s="6">
        <v>34027</v>
      </c>
      <c r="J70" s="6">
        <f t="shared" si="15"/>
        <v>34027</v>
      </c>
      <c r="K70" s="2" t="s">
        <v>68</v>
      </c>
      <c r="L70" s="2" t="str" cm="1">
        <f t="array" ref="L70">_xlfn.TEXTSPLIT(K70,"|")</f>
        <v>Braavos</v>
      </c>
      <c r="M70" s="2" t="s">
        <v>202</v>
      </c>
      <c r="N70" s="3">
        <v>3400</v>
      </c>
      <c r="O70" s="3">
        <f t="shared" si="16"/>
        <v>3400</v>
      </c>
      <c r="P70" s="4">
        <v>0</v>
      </c>
      <c r="Q70" s="5">
        <f t="shared" si="17"/>
        <v>0</v>
      </c>
      <c r="R70" s="2" t="s">
        <v>46</v>
      </c>
      <c r="S70" s="2" t="str">
        <f t="shared" si="18"/>
        <v>Não</v>
      </c>
      <c r="T70" s="2" t="str">
        <f t="shared" si="19"/>
        <v>Não</v>
      </c>
      <c r="U70" s="2">
        <v>13</v>
      </c>
      <c r="V70" s="2">
        <f t="shared" si="20"/>
        <v>13</v>
      </c>
      <c r="W70" s="2" t="str">
        <f t="shared" si="21"/>
        <v>médio</v>
      </c>
      <c r="X70" s="5">
        <v>70000</v>
      </c>
      <c r="Y70" t="str">
        <f t="shared" si="22"/>
        <v>Positivo</v>
      </c>
      <c r="Z70" t="str">
        <f t="shared" si="23"/>
        <v>Positivo</v>
      </c>
      <c r="AA70" s="1">
        <f>IF(AND(Y70="Negativo",Z70="Negativo"),0,IF(AND(B70="Ativo",OR(Y70="Positivo",Z70="Positivo")),X70*8%,0))</f>
        <v>5600</v>
      </c>
    </row>
    <row r="71" spans="1:27">
      <c r="A71" s="2" t="s">
        <v>24</v>
      </c>
      <c r="B71" s="2" t="str">
        <f t="shared" si="12"/>
        <v>Ativo</v>
      </c>
      <c r="C71" s="2" t="s">
        <v>203</v>
      </c>
      <c r="D71" s="2" t="str">
        <f t="shared" si="13"/>
        <v>Jojen Reed</v>
      </c>
      <c r="E71" s="2" t="s">
        <v>204</v>
      </c>
      <c r="F71" s="2" t="str">
        <f t="shared" si="14"/>
        <v>000.000.136-00</v>
      </c>
      <c r="G71" s="2">
        <v>41</v>
      </c>
      <c r="H71" s="2">
        <f ca="1">IF(G71="", DATEDIF(J71, TODAY(), "Y"), G71)</f>
        <v>41</v>
      </c>
      <c r="I71" s="6">
        <v>30944</v>
      </c>
      <c r="J71" s="6">
        <f t="shared" si="15"/>
        <v>30944</v>
      </c>
      <c r="K71" s="2" t="s">
        <v>32</v>
      </c>
      <c r="L71" s="2" t="str" cm="1">
        <f t="array" ref="L71">_xlfn.TEXTSPLIT(K71,"|")</f>
        <v>Ponta Tempestade</v>
      </c>
      <c r="M71" s="2" t="s">
        <v>33</v>
      </c>
      <c r="N71" s="3">
        <v>20000</v>
      </c>
      <c r="O71" s="3">
        <f t="shared" si="16"/>
        <v>20000</v>
      </c>
      <c r="P71" s="4">
        <v>20500</v>
      </c>
      <c r="Q71" s="5">
        <f t="shared" si="17"/>
        <v>20500</v>
      </c>
      <c r="R71" s="2" t="s">
        <v>29</v>
      </c>
      <c r="S71" s="2" t="str">
        <f t="shared" si="18"/>
        <v>Sim</v>
      </c>
      <c r="T71" s="2" t="str">
        <f t="shared" si="19"/>
        <v>Sim</v>
      </c>
      <c r="U71" s="2">
        <v>8</v>
      </c>
      <c r="V71" s="2">
        <f t="shared" si="20"/>
        <v>8</v>
      </c>
      <c r="W71" s="2" t="str">
        <f t="shared" si="21"/>
        <v>baixo</v>
      </c>
      <c r="X71" s="5">
        <v>44000</v>
      </c>
      <c r="Y71" t="str">
        <f t="shared" si="22"/>
        <v>Positivo</v>
      </c>
      <c r="Z71" t="str">
        <f t="shared" si="23"/>
        <v>Positivo</v>
      </c>
      <c r="AA71" s="1">
        <f>IF(AND(Y71="Negativo",Z71="Negativo"),0,IF(AND(B71="Ativo",OR(Y71="Positivo",Z71="Positivo")),X71*8%,0))</f>
        <v>3520</v>
      </c>
    </row>
    <row r="72" spans="1:27">
      <c r="A72" s="2" t="s">
        <v>24</v>
      </c>
      <c r="B72" s="2" t="str">
        <f t="shared" si="12"/>
        <v>Ativo</v>
      </c>
      <c r="C72" s="2" t="s">
        <v>205</v>
      </c>
      <c r="D72" s="2" t="str">
        <f t="shared" si="13"/>
        <v>Podrick Blackwood</v>
      </c>
      <c r="E72" s="2" t="s">
        <v>206</v>
      </c>
      <c r="F72" s="2" t="str">
        <f t="shared" si="14"/>
        <v>000.000.135-00</v>
      </c>
      <c r="H72" s="2">
        <f ca="1">IF(G72="", DATEDIF(J72, TODAY(), "Y"), G72)</f>
        <v>32</v>
      </c>
      <c r="I72" s="6">
        <v>34411</v>
      </c>
      <c r="J72" s="6">
        <f t="shared" si="15"/>
        <v>34411</v>
      </c>
      <c r="K72" s="2" t="s">
        <v>121</v>
      </c>
      <c r="L72" s="2" t="str" cm="1">
        <f t="array" ref="L72">_xlfn.TEXTSPLIT(K72,"|")</f>
        <v>Dorne</v>
      </c>
      <c r="M72" s="2" t="s">
        <v>121</v>
      </c>
      <c r="O72" s="3" t="str">
        <f t="shared" si="16"/>
        <v/>
      </c>
      <c r="P72" s="4">
        <v>0</v>
      </c>
      <c r="Q72" s="5">
        <f t="shared" si="17"/>
        <v>0</v>
      </c>
      <c r="R72" s="2" t="s">
        <v>46</v>
      </c>
      <c r="S72" s="2" t="str">
        <f t="shared" si="18"/>
        <v>Não</v>
      </c>
      <c r="T72" s="2" t="str">
        <f t="shared" si="19"/>
        <v>Não</v>
      </c>
      <c r="U72" s="2">
        <v>20</v>
      </c>
      <c r="V72" s="2">
        <f t="shared" si="20"/>
        <v>20</v>
      </c>
      <c r="W72" s="2" t="str">
        <f t="shared" si="21"/>
        <v>médio</v>
      </c>
      <c r="X72" s="5">
        <v>42000</v>
      </c>
      <c r="Y72" t="str">
        <f t="shared" si="22"/>
        <v>Positivo</v>
      </c>
      <c r="Z72" t="str">
        <f t="shared" si="23"/>
        <v>Positivo</v>
      </c>
      <c r="AA72" s="1">
        <f>IF(AND(Y72="Negativo",Z72="Negativo"),0,IF(AND(B72="Ativo",OR(Y72="Positivo",Z72="Positivo")),X72*8%,0))</f>
        <v>3360</v>
      </c>
    </row>
    <row r="73" spans="1:27">
      <c r="A73" s="2" t="s">
        <v>24</v>
      </c>
      <c r="B73" s="2" t="str">
        <f t="shared" si="12"/>
        <v>Ativo</v>
      </c>
      <c r="C73" s="2" t="s">
        <v>207</v>
      </c>
      <c r="D73" s="2" t="str">
        <f t="shared" si="13"/>
        <v>Renly Mallister</v>
      </c>
      <c r="E73" s="2" t="s">
        <v>208</v>
      </c>
      <c r="F73" s="2" t="str">
        <f t="shared" si="14"/>
        <v>000.000.372-00</v>
      </c>
      <c r="G73" s="2">
        <v>34</v>
      </c>
      <c r="H73" s="2">
        <f ca="1">IF(G73="", DATEDIF(J73, TODAY(), "Y"), G73)</f>
        <v>34</v>
      </c>
      <c r="I73" s="2">
        <v>33525</v>
      </c>
      <c r="J73" s="6">
        <f t="shared" si="15"/>
        <v>33525</v>
      </c>
      <c r="K73" s="2" t="s">
        <v>107</v>
      </c>
      <c r="L73" s="2" t="str" cm="1">
        <f t="array" ref="L73">_xlfn.TEXTSPLIT(K73,"|")</f>
        <v>Winterfell</v>
      </c>
      <c r="N73" s="3">
        <v>28000</v>
      </c>
      <c r="O73" s="3">
        <f t="shared" si="16"/>
        <v>28000</v>
      </c>
      <c r="P73" s="4">
        <v>36500</v>
      </c>
      <c r="Q73" s="5">
        <f t="shared" si="17"/>
        <v>36500</v>
      </c>
      <c r="R73" s="2" t="s">
        <v>46</v>
      </c>
      <c r="S73" s="2" t="str">
        <f t="shared" si="18"/>
        <v>Não</v>
      </c>
      <c r="T73" s="2" t="str">
        <f t="shared" si="19"/>
        <v>Não</v>
      </c>
      <c r="U73" s="2">
        <v>33</v>
      </c>
      <c r="V73" s="2">
        <f t="shared" si="20"/>
        <v>33</v>
      </c>
      <c r="W73" s="2" t="str">
        <f t="shared" si="21"/>
        <v>alto</v>
      </c>
      <c r="X73" s="5">
        <v>60000</v>
      </c>
      <c r="Y73" t="str">
        <f t="shared" si="22"/>
        <v>Positivo</v>
      </c>
      <c r="Z73" t="str">
        <f t="shared" si="23"/>
        <v>Positivo</v>
      </c>
      <c r="AA73" s="1">
        <f>IF(AND(Y73="Negativo",Z73="Negativo"),0,IF(AND(B73="Ativo",OR(Y73="Positivo",Z73="Positivo")),X73*8%,0))</f>
        <v>4800</v>
      </c>
    </row>
    <row r="74" spans="1:27">
      <c r="A74" s="2" t="s">
        <v>24</v>
      </c>
      <c r="B74" s="2" t="str">
        <f t="shared" si="12"/>
        <v>Ativo</v>
      </c>
      <c r="C74" s="2" t="s">
        <v>209</v>
      </c>
      <c r="D74" s="2" t="str">
        <f t="shared" si="13"/>
        <v>Cersei Clegane</v>
      </c>
      <c r="E74" s="2" t="s">
        <v>210</v>
      </c>
      <c r="F74" s="2" t="str">
        <f t="shared" si="14"/>
        <v>000.000.323-00</v>
      </c>
      <c r="G74" s="2">
        <v>24</v>
      </c>
      <c r="H74" s="2">
        <f ca="1">IF(G74="", DATEDIF(J74, TODAY(), "Y"), G74)</f>
        <v>24</v>
      </c>
      <c r="I74" s="2">
        <v>37259</v>
      </c>
      <c r="J74" s="6">
        <f t="shared" si="15"/>
        <v>37259</v>
      </c>
      <c r="K74" s="2" t="s">
        <v>121</v>
      </c>
      <c r="L74" s="2" t="str" cm="1">
        <f t="array" ref="L74">_xlfn.TEXTSPLIT(K74,"|")</f>
        <v>Dorne</v>
      </c>
      <c r="M74" s="2" t="s">
        <v>121</v>
      </c>
      <c r="N74" s="3">
        <v>25200</v>
      </c>
      <c r="O74" s="3">
        <f t="shared" si="16"/>
        <v>25200</v>
      </c>
      <c r="P74" s="4">
        <v>0</v>
      </c>
      <c r="Q74" s="5">
        <f t="shared" si="17"/>
        <v>0</v>
      </c>
      <c r="R74" s="2" t="s">
        <v>46</v>
      </c>
      <c r="S74" s="2" t="str">
        <f t="shared" si="18"/>
        <v>Não</v>
      </c>
      <c r="T74" s="2" t="str">
        <f t="shared" si="19"/>
        <v>Não</v>
      </c>
      <c r="U74" s="2">
        <v>10</v>
      </c>
      <c r="V74" s="2">
        <f t="shared" si="20"/>
        <v>10</v>
      </c>
      <c r="W74" s="2" t="str">
        <f t="shared" si="21"/>
        <v>baixo</v>
      </c>
      <c r="X74" s="5">
        <v>69500</v>
      </c>
      <c r="Y74" t="str">
        <f t="shared" si="22"/>
        <v>Positivo</v>
      </c>
      <c r="Z74" t="str">
        <f t="shared" si="23"/>
        <v>Positivo</v>
      </c>
      <c r="AA74" s="1">
        <f>IF(AND(Y74="Negativo",Z74="Negativo"),0,IF(AND(B74="Ativo",OR(Y74="Positivo",Z74="Positivo")),X74*8%,0))</f>
        <v>5560</v>
      </c>
    </row>
    <row r="75" spans="1:27">
      <c r="A75" s="2" t="s">
        <v>24</v>
      </c>
      <c r="B75" s="2" t="str">
        <f t="shared" si="12"/>
        <v>Ativo</v>
      </c>
      <c r="C75" s="2" t="s">
        <v>211</v>
      </c>
      <c r="D75" s="2" t="str">
        <f t="shared" si="13"/>
        <v>Beric Crakehall</v>
      </c>
      <c r="E75" s="2" t="s">
        <v>212</v>
      </c>
      <c r="F75" s="2" t="str">
        <f t="shared" si="14"/>
        <v>000.000.067-00</v>
      </c>
      <c r="G75" s="2">
        <v>55</v>
      </c>
      <c r="H75" s="2">
        <f ca="1">IF(G75="", DATEDIF(J75, TODAY(), "Y"), G75)</f>
        <v>55</v>
      </c>
      <c r="I75" s="2">
        <v>26104</v>
      </c>
      <c r="J75" s="6">
        <f t="shared" si="15"/>
        <v>26104</v>
      </c>
      <c r="K75" s="2" t="s">
        <v>56</v>
      </c>
      <c r="L75" s="2" t="str" cm="1">
        <f t="array" ref="L75">_xlfn.TEXTSPLIT(K75,"|")</f>
        <v>Pyke</v>
      </c>
      <c r="M75" s="2" t="s">
        <v>57</v>
      </c>
      <c r="N75" s="3">
        <v>22100</v>
      </c>
      <c r="O75" s="3">
        <f t="shared" si="16"/>
        <v>22100</v>
      </c>
      <c r="P75" s="4">
        <v>41500</v>
      </c>
      <c r="Q75" s="5">
        <f t="shared" si="17"/>
        <v>41500</v>
      </c>
      <c r="R75" s="2" t="s">
        <v>46</v>
      </c>
      <c r="S75" s="2" t="str">
        <f t="shared" si="18"/>
        <v>Não</v>
      </c>
      <c r="T75" s="2" t="str">
        <f t="shared" si="19"/>
        <v>Não</v>
      </c>
      <c r="U75" s="2">
        <v>18</v>
      </c>
      <c r="V75" s="2">
        <f t="shared" si="20"/>
        <v>18</v>
      </c>
      <c r="W75" s="2" t="str">
        <f t="shared" si="21"/>
        <v>médio</v>
      </c>
      <c r="X75" s="5">
        <v>65000</v>
      </c>
      <c r="Y75" t="str">
        <f t="shared" si="22"/>
        <v>Positivo</v>
      </c>
      <c r="Z75" t="str">
        <f t="shared" si="23"/>
        <v>Positivo</v>
      </c>
      <c r="AA75" s="1">
        <f>IF(AND(Y75="Negativo",Z75="Negativo"),0,IF(AND(B75="Ativo",OR(Y75="Positivo",Z75="Positivo")),X75*8%,0))</f>
        <v>5200</v>
      </c>
    </row>
    <row r="76" spans="1:27">
      <c r="A76" s="2" t="s">
        <v>30</v>
      </c>
      <c r="B76" s="2" t="str">
        <f t="shared" si="12"/>
        <v>Inativo</v>
      </c>
      <c r="C76" s="2" t="s">
        <v>213</v>
      </c>
      <c r="D76" s="2" t="str">
        <f t="shared" si="13"/>
        <v>Ellaria Bracken</v>
      </c>
      <c r="E76" s="2" t="s">
        <v>214</v>
      </c>
      <c r="F76" s="2" t="str">
        <f t="shared" si="14"/>
        <v>000.000.138-00</v>
      </c>
      <c r="G76" s="2">
        <v>59</v>
      </c>
      <c r="H76" s="2">
        <f ca="1">IF(G76="", DATEDIF(J76, TODAY(), "Y"), G76)</f>
        <v>59</v>
      </c>
      <c r="I76" s="2">
        <v>24512</v>
      </c>
      <c r="J76" s="6">
        <f t="shared" si="15"/>
        <v>24512</v>
      </c>
      <c r="K76" s="2" t="s">
        <v>151</v>
      </c>
      <c r="L76" s="2" t="str" cm="1">
        <f t="array" ref="L76">_xlfn.TEXTSPLIT(K76,"|")</f>
        <v>Monte Chifre</v>
      </c>
      <c r="M76" s="2" t="s">
        <v>147</v>
      </c>
      <c r="N76" s="3">
        <v>6300</v>
      </c>
      <c r="O76" s="3">
        <f t="shared" si="16"/>
        <v>6300</v>
      </c>
      <c r="P76" s="4">
        <v>15000</v>
      </c>
      <c r="Q76" s="5">
        <f t="shared" si="17"/>
        <v>15000</v>
      </c>
      <c r="R76" s="2" t="s">
        <v>46</v>
      </c>
      <c r="S76" s="2" t="str">
        <f t="shared" si="18"/>
        <v>Não</v>
      </c>
      <c r="T76" s="2" t="str">
        <f t="shared" si="19"/>
        <v>Não</v>
      </c>
      <c r="U76" s="2">
        <v>42</v>
      </c>
      <c r="V76" s="2">
        <f t="shared" si="20"/>
        <v>42</v>
      </c>
      <c r="W76" s="2" t="str">
        <f t="shared" si="21"/>
        <v>alto</v>
      </c>
      <c r="X76" s="5">
        <v>8500</v>
      </c>
      <c r="Y76" t="str">
        <f t="shared" si="22"/>
        <v>Positivo</v>
      </c>
      <c r="Z76" t="str">
        <f t="shared" si="23"/>
        <v>Positivo</v>
      </c>
      <c r="AA76" s="1">
        <f>IF(AND(Y76="Negativo",Z76="Negativo"),0,IF(AND(B76="Ativo",OR(Y76="Positivo",Z76="Positivo")),X76*8%,0))</f>
        <v>0</v>
      </c>
    </row>
    <row r="77" spans="1:27">
      <c r="A77" s="2" t="s">
        <v>30</v>
      </c>
      <c r="B77" s="2" t="str">
        <f t="shared" si="12"/>
        <v>Inativo</v>
      </c>
      <c r="C77" s="2" t="s">
        <v>215</v>
      </c>
      <c r="D77" s="2" t="str">
        <f t="shared" si="13"/>
        <v>Ellaria  Reed</v>
      </c>
      <c r="E77" s="2" t="s">
        <v>216</v>
      </c>
      <c r="F77" s="2" t="str">
        <f t="shared" si="14"/>
        <v>000.000.311-00</v>
      </c>
      <c r="G77" s="2">
        <v>70</v>
      </c>
      <c r="H77" s="2">
        <f ca="1">IF(G77="", DATEDIF(J77, TODAY(), "Y"), G77)</f>
        <v>70</v>
      </c>
      <c r="I77" s="6">
        <v>20502</v>
      </c>
      <c r="J77" s="6">
        <f t="shared" si="15"/>
        <v>20502</v>
      </c>
      <c r="K77" s="2" t="s">
        <v>49</v>
      </c>
      <c r="L77" s="2" t="str" cm="1">
        <f t="array" ref="L77">_xlfn.TEXTSPLIT(K77,"|")</f>
        <v>Lannisporto</v>
      </c>
      <c r="M77" s="2" t="s">
        <v>53</v>
      </c>
      <c r="N77" s="3">
        <v>2500</v>
      </c>
      <c r="O77" s="3">
        <f t="shared" si="16"/>
        <v>2500</v>
      </c>
      <c r="P77" s="4">
        <v>0</v>
      </c>
      <c r="Q77" s="5">
        <f t="shared" si="17"/>
        <v>0</v>
      </c>
      <c r="R77" s="2" t="s">
        <v>46</v>
      </c>
      <c r="S77" s="2" t="str">
        <f t="shared" si="18"/>
        <v>Não</v>
      </c>
      <c r="T77" s="2" t="str">
        <f t="shared" si="19"/>
        <v>Não</v>
      </c>
      <c r="U77" s="2">
        <v>38</v>
      </c>
      <c r="V77" s="2">
        <f t="shared" si="20"/>
        <v>38</v>
      </c>
      <c r="W77" s="2" t="str">
        <f t="shared" si="21"/>
        <v>alto</v>
      </c>
      <c r="X77" s="5">
        <v>44500</v>
      </c>
      <c r="Y77" t="str">
        <f t="shared" si="22"/>
        <v>Positivo</v>
      </c>
      <c r="Z77" t="str">
        <f t="shared" si="23"/>
        <v>Positivo</v>
      </c>
      <c r="AA77" s="1">
        <f>IF(AND(Y77="Negativo",Z77="Negativo"),0,IF(AND(B77="Ativo",OR(Y77="Positivo",Z77="Positivo")),X77*8%,0))</f>
        <v>0</v>
      </c>
    </row>
    <row r="78" spans="1:27">
      <c r="A78" s="2" t="s">
        <v>24</v>
      </c>
      <c r="B78" s="2" t="str">
        <f t="shared" si="12"/>
        <v>Ativo</v>
      </c>
      <c r="C78" s="2" t="s">
        <v>217</v>
      </c>
      <c r="D78" s="2" t="str">
        <f t="shared" si="13"/>
        <v>Daenerys Tallhart</v>
      </c>
      <c r="E78" s="2" t="s">
        <v>218</v>
      </c>
      <c r="F78" s="2" t="str">
        <f t="shared" si="14"/>
        <v>000.000.092-00</v>
      </c>
      <c r="G78" s="2">
        <v>37</v>
      </c>
      <c r="H78" s="2">
        <f ca="1">IF(G78="", DATEDIF(J78, TODAY(), "Y"), G78)</f>
        <v>37</v>
      </c>
      <c r="I78" s="2">
        <v>32543</v>
      </c>
      <c r="J78" s="6">
        <f t="shared" si="15"/>
        <v>32543</v>
      </c>
      <c r="K78" s="2" t="s">
        <v>86</v>
      </c>
      <c r="L78" s="2" t="str" cm="1">
        <f t="array" ref="L78">_xlfn.TEXTSPLIT(K78,"|")</f>
        <v>Vilavelha</v>
      </c>
      <c r="M78" s="2" t="s">
        <v>87</v>
      </c>
      <c r="N78" s="3">
        <v>29200</v>
      </c>
      <c r="O78" s="3">
        <f t="shared" si="16"/>
        <v>29200</v>
      </c>
      <c r="P78" s="4">
        <v>45000</v>
      </c>
      <c r="Q78" s="5">
        <f t="shared" si="17"/>
        <v>45000</v>
      </c>
      <c r="R78" s="2" t="s">
        <v>46</v>
      </c>
      <c r="S78" s="2" t="str">
        <f t="shared" si="18"/>
        <v>Não</v>
      </c>
      <c r="T78" s="2" t="str">
        <f t="shared" si="19"/>
        <v>Não</v>
      </c>
      <c r="U78" s="2">
        <v>26</v>
      </c>
      <c r="V78" s="2">
        <f t="shared" si="20"/>
        <v>26</v>
      </c>
      <c r="W78" s="2" t="str">
        <f t="shared" si="21"/>
        <v>alto</v>
      </c>
      <c r="X78" s="5">
        <v>23500</v>
      </c>
      <c r="Y78" t="str">
        <f t="shared" si="22"/>
        <v>Positivo</v>
      </c>
      <c r="Z78" t="str">
        <f t="shared" si="23"/>
        <v>Positivo</v>
      </c>
      <c r="AA78" s="1">
        <f>IF(AND(Y78="Negativo",Z78="Negativo"),0,IF(AND(B78="Ativo",OR(Y78="Positivo",Z78="Positivo")),X78*8%,0))</f>
        <v>1880</v>
      </c>
    </row>
    <row r="79" spans="1:27">
      <c r="A79" s="2" t="s">
        <v>24</v>
      </c>
      <c r="B79" s="2" t="str">
        <f t="shared" si="12"/>
        <v>Ativo</v>
      </c>
      <c r="C79" s="2" t="s">
        <v>219</v>
      </c>
      <c r="D79" s="2" t="str">
        <f t="shared" si="13"/>
        <v>Lyanna Marbrand</v>
      </c>
      <c r="E79" s="2" t="s">
        <v>220</v>
      </c>
      <c r="F79" s="2" t="str">
        <f t="shared" si="14"/>
        <v>000.000.283-00</v>
      </c>
      <c r="G79" s="2">
        <v>27</v>
      </c>
      <c r="H79" s="2">
        <f ca="1">IF(G79="", DATEDIF(J79, TODAY(), "Y"), G79)</f>
        <v>27</v>
      </c>
      <c r="I79" s="2">
        <v>36308</v>
      </c>
      <c r="J79" s="6">
        <f t="shared" si="15"/>
        <v>36308</v>
      </c>
      <c r="K79" s="2" t="s">
        <v>77</v>
      </c>
      <c r="L79" s="2" t="str" cm="1">
        <f t="array" ref="L79">_xlfn.TEXTSPLIT(K79,"|")</f>
        <v>Correrrio</v>
      </c>
      <c r="M79" s="2" t="s">
        <v>78</v>
      </c>
      <c r="N79" s="3">
        <v>5300</v>
      </c>
      <c r="O79" s="3">
        <f t="shared" si="16"/>
        <v>5300</v>
      </c>
      <c r="P79" s="4">
        <v>22000</v>
      </c>
      <c r="Q79" s="5">
        <f t="shared" si="17"/>
        <v>22000</v>
      </c>
      <c r="R79" s="2" t="s">
        <v>176</v>
      </c>
      <c r="S79" s="2" t="str">
        <f t="shared" si="18"/>
        <v>NÃO</v>
      </c>
      <c r="T79" s="2" t="str">
        <f t="shared" si="19"/>
        <v>Não</v>
      </c>
      <c r="U79" s="2">
        <v>11</v>
      </c>
      <c r="V79" s="2">
        <f t="shared" si="20"/>
        <v>11</v>
      </c>
      <c r="W79" s="2" t="str">
        <f t="shared" si="21"/>
        <v>médio</v>
      </c>
      <c r="X79" s="5">
        <v>28500</v>
      </c>
      <c r="Y79" t="str">
        <f t="shared" si="22"/>
        <v>Positivo</v>
      </c>
      <c r="Z79" t="str">
        <f t="shared" si="23"/>
        <v>Positivo</v>
      </c>
      <c r="AA79" s="1">
        <f>IF(AND(Y79="Negativo",Z79="Negativo"),0,IF(AND(B79="Ativo",OR(Y79="Positivo",Z79="Positivo")),X79*8%,0))</f>
        <v>2280</v>
      </c>
    </row>
    <row r="80" spans="1:27">
      <c r="A80" s="2" t="s">
        <v>24</v>
      </c>
      <c r="B80" s="2" t="str">
        <f t="shared" si="12"/>
        <v>Ativo</v>
      </c>
      <c r="C80" s="2" t="s">
        <v>221</v>
      </c>
      <c r="D80" s="2" t="str">
        <f t="shared" si="13"/>
        <v>Ramsay Dondarrion</v>
      </c>
      <c r="E80" s="2" t="s">
        <v>222</v>
      </c>
      <c r="F80" s="2" t="str">
        <f t="shared" si="14"/>
        <v>000.000.054-00</v>
      </c>
      <c r="G80" s="2">
        <v>55</v>
      </c>
      <c r="H80" s="2">
        <f ca="1">IF(G80="", DATEDIF(J80, TODAY(), "Y"), G80)</f>
        <v>55</v>
      </c>
      <c r="I80" s="2">
        <v>25874</v>
      </c>
      <c r="J80" s="6">
        <f t="shared" si="15"/>
        <v>25874</v>
      </c>
      <c r="K80" s="2" t="s">
        <v>121</v>
      </c>
      <c r="L80" s="2" t="str" cm="1">
        <f t="array" ref="L80">_xlfn.TEXTSPLIT(K80,"|")</f>
        <v>Dorne</v>
      </c>
      <c r="M80" s="2" t="s">
        <v>223</v>
      </c>
      <c r="N80" s="3">
        <v>29100</v>
      </c>
      <c r="O80" s="3">
        <f t="shared" si="16"/>
        <v>29100</v>
      </c>
      <c r="P80" s="4">
        <v>5500</v>
      </c>
      <c r="Q80" s="5">
        <f t="shared" si="17"/>
        <v>5500</v>
      </c>
      <c r="R80" s="2" t="s">
        <v>46</v>
      </c>
      <c r="S80" s="2" t="str">
        <f t="shared" si="18"/>
        <v>Não</v>
      </c>
      <c r="T80" s="2" t="str">
        <f t="shared" si="19"/>
        <v>Não</v>
      </c>
      <c r="U80" s="2">
        <v>11</v>
      </c>
      <c r="V80" s="2">
        <f t="shared" si="20"/>
        <v>11</v>
      </c>
      <c r="W80" s="2" t="str">
        <f t="shared" si="21"/>
        <v>médio</v>
      </c>
      <c r="X80" s="5">
        <v>56000</v>
      </c>
      <c r="Y80" t="str">
        <f t="shared" si="22"/>
        <v>Positivo</v>
      </c>
      <c r="Z80" t="str">
        <f t="shared" si="23"/>
        <v>Positivo</v>
      </c>
      <c r="AA80" s="1">
        <f>IF(AND(Y80="Negativo",Z80="Negativo"),0,IF(AND(B80="Ativo",OR(Y80="Positivo",Z80="Positivo")),X80*8%,0))</f>
        <v>4480</v>
      </c>
    </row>
    <row r="81" spans="1:27">
      <c r="A81" s="2" t="s">
        <v>50</v>
      </c>
      <c r="B81" s="2" t="str">
        <f t="shared" si="12"/>
        <v>Ativo</v>
      </c>
      <c r="C81" s="2" t="s">
        <v>224</v>
      </c>
      <c r="D81" s="2" t="str">
        <f t="shared" si="13"/>
        <v>Thoros  Baelish</v>
      </c>
      <c r="E81" s="2" t="s">
        <v>225</v>
      </c>
      <c r="F81" s="2" t="str">
        <f t="shared" si="14"/>
        <v>000.000.011-00</v>
      </c>
      <c r="G81" s="2">
        <v>53</v>
      </c>
      <c r="H81" s="2">
        <f ca="1">IF(G81="", DATEDIF(J81, TODAY(), "Y"), G81)</f>
        <v>53</v>
      </c>
      <c r="I81" s="6">
        <v>26812</v>
      </c>
      <c r="J81" s="6">
        <f t="shared" si="15"/>
        <v>26812</v>
      </c>
      <c r="K81" s="2" t="s">
        <v>63</v>
      </c>
      <c r="L81" s="2" t="str" cm="1">
        <f t="array" ref="L81">_xlfn.TEXTSPLIT(K81,"|")</f>
        <v>Meereen</v>
      </c>
      <c r="M81" s="2" t="s">
        <v>64</v>
      </c>
      <c r="N81" s="3">
        <v>27800</v>
      </c>
      <c r="O81" s="3">
        <f t="shared" si="16"/>
        <v>27800</v>
      </c>
      <c r="P81" s="4">
        <v>52000</v>
      </c>
      <c r="Q81" s="5">
        <f t="shared" si="17"/>
        <v>52000</v>
      </c>
      <c r="R81" s="2" t="s">
        <v>46</v>
      </c>
      <c r="S81" s="2" t="str">
        <f t="shared" si="18"/>
        <v>Não</v>
      </c>
      <c r="T81" s="2" t="str">
        <f t="shared" si="19"/>
        <v>Não</v>
      </c>
      <c r="U81" s="2">
        <v>43</v>
      </c>
      <c r="V81" s="2">
        <f t="shared" si="20"/>
        <v>43</v>
      </c>
      <c r="W81" s="2" t="str">
        <f t="shared" si="21"/>
        <v>alto</v>
      </c>
      <c r="X81" s="5">
        <v>93500</v>
      </c>
      <c r="Y81" t="str">
        <f t="shared" si="22"/>
        <v>Positivo</v>
      </c>
      <c r="Z81" t="str">
        <f t="shared" si="23"/>
        <v>Positivo</v>
      </c>
      <c r="AA81" s="1">
        <f>IF(AND(Y81="Negativo",Z81="Negativo"),0,IF(AND(B81="Ativo",OR(Y81="Positivo",Z81="Positivo")),X81*8%,0))</f>
        <v>7480</v>
      </c>
    </row>
    <row r="82" spans="1:27">
      <c r="A82" s="2" t="s">
        <v>24</v>
      </c>
      <c r="B82" s="2" t="str">
        <f t="shared" si="12"/>
        <v>Ativo</v>
      </c>
      <c r="C82" s="2" t="s">
        <v>226</v>
      </c>
      <c r="D82" s="2" t="str">
        <f t="shared" si="13"/>
        <v>Melisandre Blackwood</v>
      </c>
      <c r="E82" s="2" t="s">
        <v>227</v>
      </c>
      <c r="F82" s="2" t="str">
        <f t="shared" si="14"/>
        <v>000.000.051-00</v>
      </c>
      <c r="G82" s="2">
        <v>40</v>
      </c>
      <c r="H82" s="2">
        <f ca="1">IF(G82="", DATEDIF(J82, TODAY(), "Y"), G82)</f>
        <v>40</v>
      </c>
      <c r="I82" s="2">
        <v>31647</v>
      </c>
      <c r="J82" s="6">
        <f t="shared" si="15"/>
        <v>31647</v>
      </c>
      <c r="K82" s="2" t="s">
        <v>100</v>
      </c>
      <c r="L82" s="2" t="str" cm="1">
        <f t="array" ref="L82">_xlfn.TEXTSPLIT(K82,"|")</f>
        <v>Fosso Cailin</v>
      </c>
      <c r="M82" s="2" t="s">
        <v>81</v>
      </c>
      <c r="N82" s="3">
        <v>18700</v>
      </c>
      <c r="O82" s="3">
        <f t="shared" si="16"/>
        <v>18700</v>
      </c>
      <c r="P82" s="4">
        <v>15000</v>
      </c>
      <c r="Q82" s="5">
        <f t="shared" si="17"/>
        <v>15000</v>
      </c>
      <c r="S82" s="2" t="str">
        <f t="shared" si="18"/>
        <v/>
      </c>
      <c r="T82" s="2" t="str">
        <f t="shared" si="19"/>
        <v>Não</v>
      </c>
      <c r="U82" s="2">
        <v>26</v>
      </c>
      <c r="V82" s="2">
        <f t="shared" si="20"/>
        <v>26</v>
      </c>
      <c r="W82" s="2" t="str">
        <f t="shared" si="21"/>
        <v>alto</v>
      </c>
      <c r="X82" s="5">
        <v>89500</v>
      </c>
      <c r="Y82" t="str">
        <f t="shared" si="22"/>
        <v>Positivo</v>
      </c>
      <c r="Z82" t="str">
        <f t="shared" si="23"/>
        <v>Positivo</v>
      </c>
      <c r="AA82" s="1">
        <f>IF(AND(Y82="Negativo",Z82="Negativo"),0,IF(AND(B82="Ativo",OR(Y82="Positivo",Z82="Positivo")),X82*8%,0))</f>
        <v>7160</v>
      </c>
    </row>
    <row r="83" spans="1:27">
      <c r="A83" s="2" t="s">
        <v>24</v>
      </c>
      <c r="B83" s="2" t="str">
        <f t="shared" si="12"/>
        <v>Ativo</v>
      </c>
      <c r="C83" s="2" t="s">
        <v>228</v>
      </c>
      <c r="D83" s="2" t="str">
        <f t="shared" si="13"/>
        <v>Yara Baelish</v>
      </c>
      <c r="E83" s="2">
        <v>34400</v>
      </c>
      <c r="F83" s="2" t="str">
        <f t="shared" si="14"/>
        <v>000.000.344-00</v>
      </c>
      <c r="G83" s="2">
        <v>64</v>
      </c>
      <c r="H83" s="2">
        <f ca="1">IF(G83="", DATEDIF(J83, TODAY(), "Y"), G83)</f>
        <v>64</v>
      </c>
      <c r="I83" s="2">
        <v>22836</v>
      </c>
      <c r="J83" s="6">
        <f t="shared" si="15"/>
        <v>22836</v>
      </c>
      <c r="K83" s="2" t="s">
        <v>229</v>
      </c>
      <c r="L83" s="2" t="str" cm="1">
        <f t="array" ref="L83">_xlfn.TEXTSPLIT(K83,"|")</f>
        <v>Solar do Entardecer</v>
      </c>
      <c r="M83" s="2" t="s">
        <v>230</v>
      </c>
      <c r="N83" s="3">
        <v>24300</v>
      </c>
      <c r="O83" s="3">
        <f t="shared" si="16"/>
        <v>24300</v>
      </c>
      <c r="P83" s="4">
        <v>16500</v>
      </c>
      <c r="Q83" s="5">
        <f t="shared" si="17"/>
        <v>16500</v>
      </c>
      <c r="R83" s="2" t="s">
        <v>29</v>
      </c>
      <c r="S83" s="2" t="str">
        <f t="shared" si="18"/>
        <v>Sim</v>
      </c>
      <c r="T83" s="2" t="str">
        <f t="shared" si="19"/>
        <v>Sim</v>
      </c>
      <c r="U83" s="2">
        <v>24</v>
      </c>
      <c r="V83" s="2">
        <f t="shared" si="20"/>
        <v>24</v>
      </c>
      <c r="W83" s="2" t="str">
        <f t="shared" si="21"/>
        <v>médio</v>
      </c>
      <c r="X83" s="5">
        <v>57000</v>
      </c>
      <c r="Y83" t="str">
        <f t="shared" si="22"/>
        <v>Positivo</v>
      </c>
      <c r="Z83" t="str">
        <f t="shared" si="23"/>
        <v>Positivo</v>
      </c>
      <c r="AA83" s="1">
        <f>IF(AND(Y83="Negativo",Z83="Negativo"),0,IF(AND(B83="Ativo",OR(Y83="Positivo",Z83="Positivo")),X83*8%,0))</f>
        <v>4560</v>
      </c>
    </row>
    <row r="84" spans="1:27">
      <c r="A84" s="2" t="s">
        <v>24</v>
      </c>
      <c r="B84" s="2" t="str">
        <f t="shared" si="12"/>
        <v>Ativo</v>
      </c>
      <c r="C84" s="2" t="s">
        <v>231</v>
      </c>
      <c r="D84" s="2" t="str">
        <f t="shared" si="13"/>
        <v>Cersei Stark</v>
      </c>
      <c r="E84" s="2" t="s">
        <v>232</v>
      </c>
      <c r="F84" s="2" t="str">
        <f t="shared" si="14"/>
        <v>000.000.293-00</v>
      </c>
      <c r="G84" s="2">
        <v>25</v>
      </c>
      <c r="H84" s="2">
        <f ca="1">IF(G84="", DATEDIF(J84, TODAY(), "Y"), G84)</f>
        <v>25</v>
      </c>
      <c r="I84" s="6">
        <v>37091</v>
      </c>
      <c r="J84" s="6">
        <f t="shared" si="15"/>
        <v>37091</v>
      </c>
      <c r="K84" s="2" t="s">
        <v>27</v>
      </c>
      <c r="L84" s="2" t="str" cm="1">
        <f t="array" ref="L84">_xlfn.TEXTSPLIT(K84,"|")</f>
        <v>Ninho da Águia</v>
      </c>
      <c r="M84" s="2" t="s">
        <v>28</v>
      </c>
      <c r="N84" s="3">
        <v>28800</v>
      </c>
      <c r="O84" s="3">
        <f t="shared" si="16"/>
        <v>28800</v>
      </c>
      <c r="Q84" s="5">
        <f t="shared" si="17"/>
        <v>0</v>
      </c>
      <c r="R84" s="2" t="s">
        <v>46</v>
      </c>
      <c r="S84" s="2" t="str">
        <f t="shared" si="18"/>
        <v>Não</v>
      </c>
      <c r="T84" s="2" t="str">
        <f t="shared" si="19"/>
        <v>Não</v>
      </c>
      <c r="U84" s="2">
        <v>12</v>
      </c>
      <c r="V84" s="2">
        <f t="shared" si="20"/>
        <v>12</v>
      </c>
      <c r="W84" s="2" t="str">
        <f t="shared" si="21"/>
        <v>médio</v>
      </c>
      <c r="X84" s="5">
        <v>46500</v>
      </c>
      <c r="Y84" t="str">
        <f t="shared" si="22"/>
        <v>Positivo</v>
      </c>
      <c r="Z84" t="str">
        <f t="shared" si="23"/>
        <v>Positivo</v>
      </c>
      <c r="AA84" s="1">
        <f>IF(AND(Y84="Negativo",Z84="Negativo"),0,IF(AND(B84="Ativo",OR(Y84="Positivo",Z84="Positivo")),X84*8%,0))</f>
        <v>3720</v>
      </c>
    </row>
    <row r="85" spans="1:27">
      <c r="A85" s="2" t="s">
        <v>24</v>
      </c>
      <c r="B85" s="2" t="str">
        <f t="shared" si="12"/>
        <v>Ativo</v>
      </c>
      <c r="C85" s="2" t="s">
        <v>233</v>
      </c>
      <c r="D85" s="2" t="str">
        <f t="shared" si="13"/>
        <v>Jon  Karstark</v>
      </c>
      <c r="E85" s="2" t="s">
        <v>234</v>
      </c>
      <c r="F85" s="2" t="str">
        <f t="shared" si="14"/>
        <v>000.000.139-00</v>
      </c>
      <c r="G85" s="2">
        <v>55</v>
      </c>
      <c r="H85" s="2">
        <f ca="1">IF(G85="", DATEDIF(J85, TODAY(), "Y"), G85)</f>
        <v>55</v>
      </c>
      <c r="I85" s="6">
        <v>26161</v>
      </c>
      <c r="J85" s="6">
        <f t="shared" si="15"/>
        <v>26161</v>
      </c>
      <c r="K85" s="2" t="s">
        <v>110</v>
      </c>
      <c r="L85" s="2" t="str" cm="1">
        <f t="array" ref="L85">_xlfn.TEXTSPLIT(K85,"|")</f>
        <v>Jardim de Cima</v>
      </c>
      <c r="N85" s="3">
        <v>12200</v>
      </c>
      <c r="O85" s="3">
        <f t="shared" si="16"/>
        <v>12200</v>
      </c>
      <c r="P85" s="4">
        <v>70500</v>
      </c>
      <c r="Q85" s="5">
        <f t="shared" si="17"/>
        <v>70500</v>
      </c>
      <c r="R85" s="2" t="s">
        <v>39</v>
      </c>
      <c r="S85" s="2" t="str">
        <f t="shared" si="18"/>
        <v>não</v>
      </c>
      <c r="T85" s="2" t="str">
        <f t="shared" si="19"/>
        <v>Não</v>
      </c>
      <c r="U85" s="2">
        <v>33</v>
      </c>
      <c r="V85" s="2">
        <f t="shared" si="20"/>
        <v>33</v>
      </c>
      <c r="W85" s="2" t="str">
        <f t="shared" si="21"/>
        <v>alto</v>
      </c>
      <c r="X85" s="5">
        <v>78000</v>
      </c>
      <c r="Y85" t="str">
        <f t="shared" si="22"/>
        <v>Positivo</v>
      </c>
      <c r="Z85" t="str">
        <f t="shared" si="23"/>
        <v>Positivo</v>
      </c>
      <c r="AA85" s="1">
        <f>IF(AND(Y85="Negativo",Z85="Negativo"),0,IF(AND(B85="Ativo",OR(Y85="Positivo",Z85="Positivo")),X85*8%,0))</f>
        <v>6240</v>
      </c>
    </row>
    <row r="86" spans="1:27">
      <c r="A86" s="2" t="s">
        <v>24</v>
      </c>
      <c r="B86" s="2" t="str">
        <f t="shared" si="12"/>
        <v>Ativo</v>
      </c>
      <c r="C86" s="2" t="s">
        <v>235</v>
      </c>
      <c r="D86" s="2" t="str">
        <f t="shared" si="13"/>
        <v>Yara Royce</v>
      </c>
      <c r="E86" s="2">
        <v>32000</v>
      </c>
      <c r="F86" s="2" t="str">
        <f t="shared" si="14"/>
        <v>000.000.320-00</v>
      </c>
      <c r="G86" s="2">
        <v>68</v>
      </c>
      <c r="H86" s="2">
        <f ca="1">IF(G86="", DATEDIF(J86, TODAY(), "Y"), G86)</f>
        <v>68</v>
      </c>
      <c r="I86" s="2">
        <v>21162</v>
      </c>
      <c r="J86" s="6">
        <f t="shared" si="15"/>
        <v>21162</v>
      </c>
      <c r="K86" s="2" t="s">
        <v>80</v>
      </c>
      <c r="L86" s="2" t="str" cm="1">
        <f t="array" ref="L86">_xlfn.TEXTSPLIT(K86,"|")</f>
        <v>Castelo Negro</v>
      </c>
      <c r="M86" s="2" t="s">
        <v>81</v>
      </c>
      <c r="N86" s="3">
        <v>11500</v>
      </c>
      <c r="O86" s="3">
        <f t="shared" si="16"/>
        <v>11500</v>
      </c>
      <c r="P86" s="4">
        <v>17500</v>
      </c>
      <c r="Q86" s="5">
        <f t="shared" si="17"/>
        <v>17500</v>
      </c>
      <c r="R86" s="2" t="s">
        <v>46</v>
      </c>
      <c r="S86" s="2" t="str">
        <f t="shared" si="18"/>
        <v>Não</v>
      </c>
      <c r="T86" s="2" t="str">
        <f t="shared" si="19"/>
        <v>Não</v>
      </c>
      <c r="U86" s="2">
        <v>19</v>
      </c>
      <c r="V86" s="2">
        <f t="shared" si="20"/>
        <v>19</v>
      </c>
      <c r="W86" s="2" t="str">
        <f t="shared" si="21"/>
        <v>médio</v>
      </c>
      <c r="X86" s="5">
        <v>26000</v>
      </c>
      <c r="Y86" t="str">
        <f t="shared" si="22"/>
        <v>Positivo</v>
      </c>
      <c r="Z86" t="str">
        <f t="shared" si="23"/>
        <v>Positivo</v>
      </c>
      <c r="AA86" s="1">
        <f>IF(AND(Y86="Negativo",Z86="Negativo"),0,IF(AND(B86="Ativo",OR(Y86="Positivo",Z86="Positivo")),X86*8%,0))</f>
        <v>2080</v>
      </c>
    </row>
    <row r="87" spans="1:27">
      <c r="A87" s="2" t="s">
        <v>24</v>
      </c>
      <c r="B87" s="2" t="str">
        <f t="shared" si="12"/>
        <v>Ativo</v>
      </c>
      <c r="C87" s="2" t="s">
        <v>236</v>
      </c>
      <c r="D87" s="2" t="str">
        <f t="shared" si="13"/>
        <v>Jeor Lannister</v>
      </c>
      <c r="E87" s="2" t="s">
        <v>237</v>
      </c>
      <c r="F87" s="2" t="str">
        <f t="shared" si="14"/>
        <v>000.000.091-00</v>
      </c>
      <c r="G87" s="2">
        <v>37</v>
      </c>
      <c r="H87" s="2">
        <f ca="1">IF(G87="", DATEDIF(J87, TODAY(), "Y"), G87)</f>
        <v>37</v>
      </c>
      <c r="I87" s="2">
        <v>32412</v>
      </c>
      <c r="J87" s="6">
        <f t="shared" si="15"/>
        <v>32412</v>
      </c>
      <c r="K87" s="2" t="s">
        <v>100</v>
      </c>
      <c r="L87" s="2" t="str" cm="1">
        <f t="array" ref="L87">_xlfn.TEXTSPLIT(K87,"|")</f>
        <v>Fosso Cailin</v>
      </c>
      <c r="M87" s="2" t="s">
        <v>114</v>
      </c>
      <c r="N87" s="3">
        <v>24700</v>
      </c>
      <c r="O87" s="3">
        <f t="shared" si="16"/>
        <v>24700</v>
      </c>
      <c r="P87" s="4">
        <v>23000</v>
      </c>
      <c r="Q87" s="5">
        <f t="shared" si="17"/>
        <v>23000</v>
      </c>
      <c r="R87" s="2" t="s">
        <v>29</v>
      </c>
      <c r="S87" s="2" t="str">
        <f t="shared" si="18"/>
        <v>Sim</v>
      </c>
      <c r="T87" s="2" t="str">
        <f t="shared" si="19"/>
        <v>Sim</v>
      </c>
      <c r="U87" s="2">
        <v>10</v>
      </c>
      <c r="V87" s="2">
        <f t="shared" si="20"/>
        <v>10</v>
      </c>
      <c r="W87" s="2" t="str">
        <f t="shared" si="21"/>
        <v>baixo</v>
      </c>
      <c r="X87" s="5">
        <v>37500</v>
      </c>
      <c r="Y87" t="str">
        <f t="shared" si="22"/>
        <v>Positivo</v>
      </c>
      <c r="Z87" t="str">
        <f t="shared" si="23"/>
        <v>Positivo</v>
      </c>
      <c r="AA87" s="1">
        <f>IF(AND(Y87="Negativo",Z87="Negativo"),0,IF(AND(B87="Ativo",OR(Y87="Positivo",Z87="Positivo")),X87*8%,0))</f>
        <v>3000</v>
      </c>
    </row>
    <row r="88" spans="1:27">
      <c r="A88" s="2" t="s">
        <v>24</v>
      </c>
      <c r="B88" s="2" t="str">
        <f t="shared" si="12"/>
        <v>Ativo</v>
      </c>
      <c r="C88" s="2" t="s">
        <v>238</v>
      </c>
      <c r="D88" s="2" t="str">
        <f t="shared" si="13"/>
        <v>Bran Florent</v>
      </c>
      <c r="E88" s="2" t="s">
        <v>239</v>
      </c>
      <c r="F88" s="2" t="str">
        <f t="shared" si="14"/>
        <v>000.000.218-00</v>
      </c>
      <c r="G88" s="2">
        <v>62</v>
      </c>
      <c r="H88" s="2">
        <f ca="1">IF(G88="", DATEDIF(J88, TODAY(), "Y"), G88)</f>
        <v>62</v>
      </c>
      <c r="I88" s="2">
        <v>23488</v>
      </c>
      <c r="J88" s="6">
        <f t="shared" si="15"/>
        <v>23488</v>
      </c>
      <c r="K88" s="2" t="s">
        <v>27</v>
      </c>
      <c r="L88" s="2" t="str" cm="1">
        <f t="array" ref="L88">_xlfn.TEXTSPLIT(K88,"|")</f>
        <v>Ninho da Águia</v>
      </c>
      <c r="M88" s="2" t="s">
        <v>28</v>
      </c>
      <c r="N88" s="3" t="s">
        <v>122</v>
      </c>
      <c r="O88" s="3" t="str">
        <f t="shared" si="16"/>
        <v/>
      </c>
      <c r="P88" s="4" t="s">
        <v>38</v>
      </c>
      <c r="Q88" s="5" t="str">
        <f t="shared" si="17"/>
        <v>N/A</v>
      </c>
      <c r="R88" s="2" t="s">
        <v>46</v>
      </c>
      <c r="S88" s="2" t="str">
        <f t="shared" si="18"/>
        <v>Não</v>
      </c>
      <c r="T88" s="2" t="str">
        <f t="shared" si="19"/>
        <v>Não</v>
      </c>
      <c r="U88" s="2">
        <v>38</v>
      </c>
      <c r="V88" s="2">
        <f t="shared" si="20"/>
        <v>38</v>
      </c>
      <c r="W88" s="2" t="str">
        <f t="shared" si="21"/>
        <v>alto</v>
      </c>
      <c r="X88" s="5">
        <v>72000</v>
      </c>
      <c r="Y88" t="str">
        <f t="shared" si="22"/>
        <v>Positivo</v>
      </c>
      <c r="Z88" t="str">
        <f t="shared" si="23"/>
        <v>Negativo</v>
      </c>
      <c r="AA88" s="1">
        <f>IF(AND(Y88="Negativo",Z88="Negativo"),0,IF(AND(B88="Ativo",OR(Y88="Positivo",Z88="Positivo")),X88*8%,0))</f>
        <v>5760</v>
      </c>
    </row>
    <row r="89" spans="1:27">
      <c r="A89" s="2" t="s">
        <v>24</v>
      </c>
      <c r="B89" s="2" t="str">
        <f t="shared" si="12"/>
        <v>Ativo</v>
      </c>
      <c r="C89" s="2" t="s">
        <v>240</v>
      </c>
      <c r="D89" s="2" t="str">
        <f t="shared" si="13"/>
        <v>Jojen Redwyne</v>
      </c>
      <c r="E89" s="2" t="s">
        <v>241</v>
      </c>
      <c r="F89" s="2" t="str">
        <f t="shared" si="14"/>
        <v>000.000.334-00</v>
      </c>
      <c r="G89" s="2">
        <v>24</v>
      </c>
      <c r="H89" s="2">
        <f ca="1">IF(G89="", DATEDIF(J89, TODAY(), "Y"), G89)</f>
        <v>24</v>
      </c>
      <c r="I89" s="2">
        <v>37491</v>
      </c>
      <c r="J89" s="6">
        <f t="shared" si="15"/>
        <v>37491</v>
      </c>
      <c r="K89" s="2" t="s">
        <v>121</v>
      </c>
      <c r="L89" s="2" t="str" cm="1">
        <f t="array" ref="L89">_xlfn.TEXTSPLIT(K89,"|")</f>
        <v>Dorne</v>
      </c>
      <c r="M89" s="2" t="s">
        <v>223</v>
      </c>
      <c r="N89" s="3">
        <v>8900</v>
      </c>
      <c r="O89" s="3">
        <f t="shared" si="16"/>
        <v>8900</v>
      </c>
      <c r="P89" s="4">
        <v>19500</v>
      </c>
      <c r="Q89" s="5">
        <f t="shared" si="17"/>
        <v>19500</v>
      </c>
      <c r="R89" s="2" t="s">
        <v>29</v>
      </c>
      <c r="S89" s="2" t="str">
        <f t="shared" si="18"/>
        <v>Sim</v>
      </c>
      <c r="T89" s="2" t="str">
        <f t="shared" si="19"/>
        <v>Sim</v>
      </c>
      <c r="U89" s="2">
        <v>33</v>
      </c>
      <c r="V89" s="2">
        <f t="shared" si="20"/>
        <v>33</v>
      </c>
      <c r="W89" s="2" t="str">
        <f t="shared" si="21"/>
        <v>alto</v>
      </c>
      <c r="X89" s="5">
        <v>96500</v>
      </c>
      <c r="Y89" t="str">
        <f t="shared" si="22"/>
        <v>Negativo</v>
      </c>
      <c r="Z89" t="str">
        <f t="shared" si="23"/>
        <v>Positivo</v>
      </c>
      <c r="AA89" s="1">
        <f>IF(AND(Y89="Negativo",Z89="Negativo"),0,IF(AND(B89="Ativo",OR(Y89="Positivo",Z89="Positivo")),X89*8%,0))</f>
        <v>7720</v>
      </c>
    </row>
    <row r="90" spans="1:27">
      <c r="A90" s="2" t="s">
        <v>24</v>
      </c>
      <c r="B90" s="2" t="str">
        <f t="shared" si="12"/>
        <v>Ativo</v>
      </c>
      <c r="C90" s="2" t="s">
        <v>242</v>
      </c>
      <c r="D90" s="2" t="str">
        <f t="shared" si="13"/>
        <v>Bronn Mallister</v>
      </c>
      <c r="E90" s="2" t="s">
        <v>243</v>
      </c>
      <c r="F90" s="2" t="str">
        <f t="shared" si="14"/>
        <v>000.000.200-00</v>
      </c>
      <c r="G90" s="2">
        <v>35</v>
      </c>
      <c r="H90" s="2">
        <f ca="1">IF(G90="", DATEDIF(J90, TODAY(), "Y"), G90)</f>
        <v>35</v>
      </c>
      <c r="J90" s="6">
        <f t="shared" si="15"/>
        <v>0</v>
      </c>
      <c r="K90" s="2" t="s">
        <v>86</v>
      </c>
      <c r="L90" s="2" t="str" cm="1">
        <f t="array" ref="L90">_xlfn.TEXTSPLIT(K90,"|")</f>
        <v>Vilavelha</v>
      </c>
      <c r="M90" s="2" t="s">
        <v>87</v>
      </c>
      <c r="N90" s="3">
        <v>28000</v>
      </c>
      <c r="O90" s="3">
        <f t="shared" si="16"/>
        <v>28000</v>
      </c>
      <c r="P90" s="4">
        <v>76500</v>
      </c>
      <c r="Q90" s="5">
        <f t="shared" si="17"/>
        <v>76500</v>
      </c>
      <c r="R90" s="2" t="s">
        <v>46</v>
      </c>
      <c r="S90" s="2" t="str">
        <f t="shared" si="18"/>
        <v>Não</v>
      </c>
      <c r="T90" s="2" t="str">
        <f t="shared" si="19"/>
        <v>Não</v>
      </c>
      <c r="U90" s="2">
        <v>39</v>
      </c>
      <c r="V90" s="2">
        <f t="shared" si="20"/>
        <v>39</v>
      </c>
      <c r="W90" s="2" t="str">
        <f t="shared" si="21"/>
        <v>alto</v>
      </c>
      <c r="X90" s="5">
        <v>32000</v>
      </c>
      <c r="Y90" t="str">
        <f t="shared" si="22"/>
        <v>Positivo</v>
      </c>
      <c r="Z90" t="str">
        <f t="shared" si="23"/>
        <v>Positivo</v>
      </c>
      <c r="AA90" s="1">
        <f>IF(AND(Y90="Negativo",Z90="Negativo"),0,IF(AND(B90="Ativo",OR(Y90="Positivo",Z90="Positivo")),X90*8%,0))</f>
        <v>2560</v>
      </c>
    </row>
    <row r="91" spans="1:27">
      <c r="A91" s="2" t="s">
        <v>24</v>
      </c>
      <c r="B91" s="2" t="str">
        <f t="shared" si="12"/>
        <v>Ativo</v>
      </c>
      <c r="C91" s="2" t="s">
        <v>244</v>
      </c>
      <c r="D91" s="2" t="str">
        <f t="shared" si="13"/>
        <v>Olenna Reed</v>
      </c>
      <c r="E91" s="2" t="s">
        <v>245</v>
      </c>
      <c r="F91" s="2" t="str">
        <f t="shared" si="14"/>
        <v>000.000.248-00</v>
      </c>
      <c r="G91" s="2">
        <v>40</v>
      </c>
      <c r="H91" s="2">
        <f ca="1">IF(G91="", DATEDIF(J91, TODAY(), "Y"), G91)</f>
        <v>40</v>
      </c>
      <c r="I91" s="2">
        <v>31408</v>
      </c>
      <c r="J91" s="6">
        <f t="shared" si="15"/>
        <v>31408</v>
      </c>
      <c r="K91" s="2" t="s">
        <v>246</v>
      </c>
      <c r="L91" s="2" t="str" cm="1">
        <f t="array" ref="L91:M91">_xlfn.TEXTSPLIT(K91,"|")</f>
        <v xml:space="preserve">Braavos </v>
      </c>
      <c r="M91" s="2" t="str">
        <v xml:space="preserve"> Essos</v>
      </c>
      <c r="N91" s="3">
        <v>17400</v>
      </c>
      <c r="O91" s="3">
        <f t="shared" si="16"/>
        <v>17400</v>
      </c>
      <c r="P91" s="4">
        <v>53000</v>
      </c>
      <c r="Q91" s="5">
        <f t="shared" si="17"/>
        <v>53000</v>
      </c>
      <c r="R91" s="2" t="s">
        <v>29</v>
      </c>
      <c r="S91" s="2" t="str">
        <f t="shared" si="18"/>
        <v>Sim</v>
      </c>
      <c r="T91" s="2" t="str">
        <f t="shared" si="19"/>
        <v>Sim</v>
      </c>
      <c r="U91" s="2">
        <v>20</v>
      </c>
      <c r="V91" s="2">
        <f t="shared" si="20"/>
        <v>20</v>
      </c>
      <c r="W91" s="2" t="str">
        <f t="shared" si="21"/>
        <v>médio</v>
      </c>
      <c r="X91" s="5">
        <v>52500</v>
      </c>
      <c r="Y91" t="str">
        <f t="shared" si="22"/>
        <v>Positivo</v>
      </c>
      <c r="Z91" t="str">
        <f t="shared" si="23"/>
        <v>Negativo</v>
      </c>
      <c r="AA91" s="1">
        <f>IF(AND(Y91="Negativo",Z91="Negativo"),0,IF(AND(B91="Ativo",OR(Y91="Positivo",Z91="Positivo")),X91*8%,0))</f>
        <v>4200</v>
      </c>
    </row>
    <row r="92" spans="1:27">
      <c r="A92" s="2" t="s">
        <v>111</v>
      </c>
      <c r="B92" s="2" t="str">
        <f t="shared" si="12"/>
        <v>Ativo</v>
      </c>
      <c r="C92" s="2" t="s">
        <v>247</v>
      </c>
      <c r="D92" s="2" t="str">
        <f t="shared" si="13"/>
        <v>Jon Hightower</v>
      </c>
      <c r="E92" s="2" t="s">
        <v>248</v>
      </c>
      <c r="F92" s="2" t="str">
        <f t="shared" si="14"/>
        <v>000.000.081-00</v>
      </c>
      <c r="G92" s="2">
        <v>59</v>
      </c>
      <c r="H92" s="2">
        <f ca="1">IF(G92="", DATEDIF(J92, TODAY(), "Y"), G92)</f>
        <v>59</v>
      </c>
      <c r="I92" s="2">
        <v>24362</v>
      </c>
      <c r="J92" s="6">
        <f t="shared" si="15"/>
        <v>24362</v>
      </c>
      <c r="K92" s="2" t="s">
        <v>107</v>
      </c>
      <c r="L92" s="2" t="str" cm="1">
        <f t="array" ref="L92">_xlfn.TEXTSPLIT(K92,"|")</f>
        <v>Winterfell</v>
      </c>
      <c r="M92" s="2" t="s">
        <v>81</v>
      </c>
      <c r="N92" s="3">
        <v>18900</v>
      </c>
      <c r="O92" s="3">
        <f t="shared" si="16"/>
        <v>18900</v>
      </c>
      <c r="P92" s="4">
        <v>1000</v>
      </c>
      <c r="Q92" s="5">
        <f t="shared" si="17"/>
        <v>1000</v>
      </c>
      <c r="R92" s="2" t="s">
        <v>119</v>
      </c>
      <c r="S92" s="2" t="str">
        <f t="shared" si="18"/>
        <v>sim</v>
      </c>
      <c r="T92" s="2" t="str">
        <f t="shared" si="19"/>
        <v>Sim</v>
      </c>
      <c r="U92" s="2">
        <v>42</v>
      </c>
      <c r="V92" s="2">
        <f t="shared" si="20"/>
        <v>42</v>
      </c>
      <c r="W92" s="2" t="str">
        <f t="shared" si="21"/>
        <v>alto</v>
      </c>
      <c r="X92" s="5">
        <v>16500</v>
      </c>
      <c r="Y92" t="str">
        <f t="shared" si="22"/>
        <v>Negativo</v>
      </c>
      <c r="Z92" t="str">
        <f t="shared" si="23"/>
        <v>Positivo</v>
      </c>
      <c r="AA92" s="1">
        <f>IF(AND(Y92="Negativo",Z92="Negativo"),0,IF(AND(B92="Ativo",OR(Y92="Positivo",Z92="Positivo")),X92*8%,0))</f>
        <v>1320</v>
      </c>
    </row>
    <row r="93" spans="1:27">
      <c r="A93" s="2" t="s">
        <v>30</v>
      </c>
      <c r="B93" s="2" t="str">
        <f t="shared" si="12"/>
        <v>Inativo</v>
      </c>
      <c r="C93" s="2" t="s">
        <v>249</v>
      </c>
      <c r="D93" s="2" t="str">
        <f t="shared" si="13"/>
        <v>Renly Dayne</v>
      </c>
      <c r="E93" s="2" t="s">
        <v>250</v>
      </c>
      <c r="F93" s="2" t="str">
        <f t="shared" si="14"/>
        <v>000.000.065-00</v>
      </c>
      <c r="H93" s="2">
        <f ca="1">IF(G93="", DATEDIF(J93, TODAY(), "Y"), G93)</f>
        <v>72</v>
      </c>
      <c r="I93" s="2">
        <v>19672</v>
      </c>
      <c r="J93" s="6">
        <f t="shared" si="15"/>
        <v>19672</v>
      </c>
      <c r="K93" s="2" t="s">
        <v>121</v>
      </c>
      <c r="L93" s="2" t="str" cm="1">
        <f t="array" ref="L93">_xlfn.TEXTSPLIT(K93,"|")</f>
        <v>Dorne</v>
      </c>
      <c r="M93" s="2" t="s">
        <v>121</v>
      </c>
      <c r="N93" s="3">
        <v>21000</v>
      </c>
      <c r="O93" s="3">
        <f t="shared" si="16"/>
        <v>21000</v>
      </c>
      <c r="P93" s="4">
        <v>0</v>
      </c>
      <c r="Q93" s="5">
        <f t="shared" si="17"/>
        <v>0</v>
      </c>
      <c r="R93" s="2" t="s">
        <v>128</v>
      </c>
      <c r="S93" s="2" t="str">
        <f t="shared" si="18"/>
        <v>Nao</v>
      </c>
      <c r="T93" s="2" t="str">
        <f t="shared" si="19"/>
        <v>Não</v>
      </c>
      <c r="U93" s="2">
        <v>11</v>
      </c>
      <c r="V93" s="2">
        <f t="shared" si="20"/>
        <v>11</v>
      </c>
      <c r="W93" s="2" t="str">
        <f t="shared" si="21"/>
        <v>médio</v>
      </c>
      <c r="X93" s="5">
        <v>75500</v>
      </c>
      <c r="Y93" t="str">
        <f t="shared" si="22"/>
        <v>Positivo</v>
      </c>
      <c r="Z93" t="str">
        <f t="shared" si="23"/>
        <v>Positivo</v>
      </c>
      <c r="AA93" s="1">
        <f>IF(AND(Y93="Negativo",Z93="Negativo"),0,IF(AND(B93="Ativo",OR(Y93="Positivo",Z93="Positivo")),X93*8%,0))</f>
        <v>0</v>
      </c>
    </row>
    <row r="94" spans="1:27">
      <c r="A94" s="2" t="s">
        <v>24</v>
      </c>
      <c r="B94" s="2" t="str">
        <f t="shared" si="12"/>
        <v>Ativo</v>
      </c>
      <c r="C94" s="2" t="s">
        <v>251</v>
      </c>
      <c r="D94" s="2" t="str">
        <f t="shared" si="13"/>
        <v>Missandei Karstark</v>
      </c>
      <c r="E94" s="2" t="s">
        <v>252</v>
      </c>
      <c r="F94" s="2" t="str">
        <f t="shared" si="14"/>
        <v>000.000.044-00</v>
      </c>
      <c r="G94" s="2">
        <v>42</v>
      </c>
      <c r="H94" s="2">
        <f ca="1">IF(G94="", DATEDIF(J94, TODAY(), "Y"), G94)</f>
        <v>42</v>
      </c>
      <c r="I94" s="6">
        <v>30666</v>
      </c>
      <c r="J94" s="6">
        <f t="shared" si="15"/>
        <v>30666</v>
      </c>
      <c r="K94" s="2" t="s">
        <v>36</v>
      </c>
      <c r="L94" s="2" t="str" cm="1">
        <f t="array" ref="L94">_xlfn.TEXTSPLIT(K94,"|")</f>
        <v>Pedra do Dragão</v>
      </c>
      <c r="M94" s="2" t="s">
        <v>253</v>
      </c>
      <c r="N94" s="3">
        <v>6000</v>
      </c>
      <c r="O94" s="3">
        <f t="shared" si="16"/>
        <v>6000</v>
      </c>
      <c r="P94" s="4">
        <v>55000</v>
      </c>
      <c r="Q94" s="5">
        <f t="shared" si="17"/>
        <v>55000</v>
      </c>
      <c r="R94" s="2" t="s">
        <v>46</v>
      </c>
      <c r="S94" s="2" t="str">
        <f t="shared" si="18"/>
        <v>Não</v>
      </c>
      <c r="T94" s="2" t="str">
        <f t="shared" si="19"/>
        <v>Não</v>
      </c>
      <c r="U94" s="2">
        <v>5</v>
      </c>
      <c r="V94" s="2">
        <f t="shared" si="20"/>
        <v>5</v>
      </c>
      <c r="W94" s="2" t="str">
        <f t="shared" si="21"/>
        <v>baixo</v>
      </c>
      <c r="X94" s="5">
        <v>10000</v>
      </c>
      <c r="Y94" t="str">
        <f t="shared" si="22"/>
        <v>Positivo</v>
      </c>
      <c r="Z94" t="str">
        <f t="shared" si="23"/>
        <v>Positivo</v>
      </c>
      <c r="AA94" s="1">
        <f>IF(AND(Y94="Negativo",Z94="Negativo"),0,IF(AND(B94="Ativo",OR(Y94="Positivo",Z94="Positivo")),X94*8%,0))</f>
        <v>800</v>
      </c>
    </row>
    <row r="95" spans="1:27">
      <c r="A95" s="2" t="s">
        <v>24</v>
      </c>
      <c r="B95" s="2" t="str">
        <f t="shared" si="12"/>
        <v>Ativo</v>
      </c>
      <c r="C95" s="2" t="s">
        <v>254</v>
      </c>
      <c r="D95" s="2" t="str">
        <f t="shared" si="13"/>
        <v>Catelyn Cerwyn</v>
      </c>
      <c r="E95" s="2" t="s">
        <v>255</v>
      </c>
      <c r="F95" s="2" t="str">
        <f t="shared" si="14"/>
        <v>000.000.308-00</v>
      </c>
      <c r="G95" s="2">
        <v>60</v>
      </c>
      <c r="H95" s="2">
        <f ca="1">IF(G95="", DATEDIF(J95, TODAY(), "Y"), G95)</f>
        <v>60</v>
      </c>
      <c r="I95" s="6">
        <v>24082</v>
      </c>
      <c r="J95" s="6">
        <f t="shared" si="15"/>
        <v>24082</v>
      </c>
      <c r="K95" s="2" t="s">
        <v>174</v>
      </c>
      <c r="L95" s="2" t="str" cm="1">
        <f t="array" ref="L95">_xlfn.TEXTSPLIT(K95,"|")</f>
        <v>Atalaia da Água Cinzenta</v>
      </c>
      <c r="M95" s="2" t="s">
        <v>175</v>
      </c>
      <c r="N95" s="3">
        <v>13800</v>
      </c>
      <c r="O95" s="3">
        <f t="shared" si="16"/>
        <v>13800</v>
      </c>
      <c r="P95" s="4">
        <v>45500</v>
      </c>
      <c r="Q95" s="5">
        <f t="shared" si="17"/>
        <v>45500</v>
      </c>
      <c r="R95" s="2" t="s">
        <v>46</v>
      </c>
      <c r="S95" s="2" t="str">
        <f t="shared" si="18"/>
        <v>Não</v>
      </c>
      <c r="T95" s="2" t="str">
        <f t="shared" si="19"/>
        <v>Não</v>
      </c>
      <c r="U95" s="2">
        <v>30</v>
      </c>
      <c r="V95" s="2">
        <f t="shared" si="20"/>
        <v>30</v>
      </c>
      <c r="W95" s="2" t="str">
        <f t="shared" si="21"/>
        <v>alto</v>
      </c>
      <c r="X95" s="5">
        <v>17500</v>
      </c>
      <c r="Y95" t="str">
        <f t="shared" si="22"/>
        <v>Positivo</v>
      </c>
      <c r="Z95" t="str">
        <f t="shared" si="23"/>
        <v>Positivo</v>
      </c>
      <c r="AA95" s="1">
        <f>IF(AND(Y95="Negativo",Z95="Negativo"),0,IF(AND(B95="Ativo",OR(Y95="Positivo",Z95="Positivo")),X95*8%,0))</f>
        <v>1400</v>
      </c>
    </row>
    <row r="96" spans="1:27">
      <c r="A96" s="2" t="s">
        <v>24</v>
      </c>
      <c r="B96" s="2" t="str">
        <f t="shared" si="12"/>
        <v>Ativo</v>
      </c>
      <c r="C96" s="2" t="s">
        <v>256</v>
      </c>
      <c r="D96" s="2" t="str">
        <f t="shared" si="13"/>
        <v>Margaery Dayne</v>
      </c>
      <c r="E96" s="2" t="s">
        <v>257</v>
      </c>
      <c r="F96" s="2" t="str">
        <f t="shared" si="14"/>
        <v>000.000.276-00</v>
      </c>
      <c r="G96" s="2">
        <v>36</v>
      </c>
      <c r="H96" s="2">
        <f ca="1">IF(G96="", DATEDIF(J96, TODAY(), "Y"), G96)</f>
        <v>36</v>
      </c>
      <c r="I96" s="2">
        <v>32791</v>
      </c>
      <c r="J96" s="6">
        <f t="shared" si="15"/>
        <v>32791</v>
      </c>
      <c r="K96" s="2" t="s">
        <v>110</v>
      </c>
      <c r="L96" s="2" t="str" cm="1">
        <f t="array" ref="L96">_xlfn.TEXTSPLIT(K96,"|")</f>
        <v>Jardim de Cima</v>
      </c>
      <c r="M96" s="2" t="s">
        <v>147</v>
      </c>
      <c r="N96" s="3">
        <v>23900</v>
      </c>
      <c r="O96" s="3">
        <f t="shared" si="16"/>
        <v>23900</v>
      </c>
      <c r="P96" s="4">
        <v>58000</v>
      </c>
      <c r="Q96" s="5">
        <f t="shared" si="17"/>
        <v>58000</v>
      </c>
      <c r="R96" s="2" t="s">
        <v>46</v>
      </c>
      <c r="S96" s="2" t="str">
        <f t="shared" si="18"/>
        <v>Não</v>
      </c>
      <c r="T96" s="2" t="str">
        <f t="shared" si="19"/>
        <v>Não</v>
      </c>
      <c r="U96" s="2">
        <v>27</v>
      </c>
      <c r="V96" s="2">
        <f t="shared" si="20"/>
        <v>27</v>
      </c>
      <c r="W96" s="2" t="str">
        <f t="shared" si="21"/>
        <v>alto</v>
      </c>
      <c r="X96" s="5">
        <v>38000</v>
      </c>
      <c r="Y96" t="str">
        <f t="shared" si="22"/>
        <v>Positivo</v>
      </c>
      <c r="Z96" t="str">
        <f t="shared" si="23"/>
        <v>Positivo</v>
      </c>
      <c r="AA96" s="1">
        <f>IF(AND(Y96="Negativo",Z96="Negativo"),0,IF(AND(B96="Ativo",OR(Y96="Positivo",Z96="Positivo")),X96*8%,0))</f>
        <v>3040</v>
      </c>
    </row>
    <row r="97" spans="1:27">
      <c r="A97" s="2" t="s">
        <v>24</v>
      </c>
      <c r="B97" s="2" t="str">
        <f t="shared" si="12"/>
        <v>Ativo</v>
      </c>
      <c r="C97" s="2" t="s">
        <v>258</v>
      </c>
      <c r="D97" s="2" t="str">
        <f t="shared" si="13"/>
        <v>Rickon Karstark</v>
      </c>
      <c r="E97" s="2" t="s">
        <v>259</v>
      </c>
      <c r="F97" s="2" t="str">
        <f t="shared" si="14"/>
        <v>000.000.088-00</v>
      </c>
      <c r="G97" s="2">
        <v>74</v>
      </c>
      <c r="H97" s="2">
        <f ca="1">IF(G97="", DATEDIF(J97, TODAY(), "Y"), G97)</f>
        <v>74</v>
      </c>
      <c r="I97" s="2">
        <v>19121</v>
      </c>
      <c r="J97" s="6">
        <f t="shared" si="15"/>
        <v>19121</v>
      </c>
      <c r="K97" s="2" t="s">
        <v>80</v>
      </c>
      <c r="L97" s="2" t="str" cm="1">
        <f t="array" ref="L97">_xlfn.TEXTSPLIT(K97,"|")</f>
        <v>Castelo Negro</v>
      </c>
      <c r="M97" s="2" t="s">
        <v>81</v>
      </c>
      <c r="N97" s="3">
        <v>7300</v>
      </c>
      <c r="O97" s="3">
        <f t="shared" si="16"/>
        <v>7300</v>
      </c>
      <c r="P97" s="4">
        <v>1000</v>
      </c>
      <c r="Q97" s="5">
        <f t="shared" si="17"/>
        <v>1000</v>
      </c>
      <c r="R97" s="2" t="s">
        <v>46</v>
      </c>
      <c r="S97" s="2" t="str">
        <f t="shared" si="18"/>
        <v>Não</v>
      </c>
      <c r="T97" s="2" t="str">
        <f t="shared" si="19"/>
        <v>Não</v>
      </c>
      <c r="U97" s="2">
        <v>3</v>
      </c>
      <c r="V97" s="2">
        <f t="shared" si="20"/>
        <v>3</v>
      </c>
      <c r="W97" s="2" t="str">
        <f t="shared" si="21"/>
        <v>baixo</v>
      </c>
      <c r="X97" s="5">
        <v>50500</v>
      </c>
      <c r="Y97" t="str">
        <f t="shared" si="22"/>
        <v>Positivo</v>
      </c>
      <c r="Z97" t="str">
        <f t="shared" si="23"/>
        <v>Positivo</v>
      </c>
      <c r="AA97" s="1">
        <f>IF(AND(Y97="Negativo",Z97="Negativo"),0,IF(AND(B97="Ativo",OR(Y97="Positivo",Z97="Positivo")),X97*8%,0))</f>
        <v>4040</v>
      </c>
    </row>
    <row r="98" spans="1:27">
      <c r="A98" s="2" t="s">
        <v>111</v>
      </c>
      <c r="B98" s="2" t="str">
        <f t="shared" si="12"/>
        <v>Ativo</v>
      </c>
      <c r="C98" s="2" t="s">
        <v>260</v>
      </c>
      <c r="D98" s="2" t="str">
        <f t="shared" si="13"/>
        <v>Jorah Seaworth</v>
      </c>
      <c r="E98" s="2">
        <v>20700</v>
      </c>
      <c r="F98" s="2" t="str">
        <f t="shared" si="14"/>
        <v>000.000.207-00</v>
      </c>
      <c r="G98" s="2">
        <v>66</v>
      </c>
      <c r="H98" s="2">
        <f ca="1">IF(G98="", DATEDIF(J98, TODAY(), "Y"), G98)</f>
        <v>66</v>
      </c>
      <c r="I98" s="6">
        <v>22151</v>
      </c>
      <c r="J98" s="6">
        <f t="shared" si="15"/>
        <v>22151</v>
      </c>
      <c r="K98" s="2" t="s">
        <v>149</v>
      </c>
      <c r="L98" s="2" t="str" cm="1">
        <f t="array" ref="L98:M98">_xlfn.TEXTSPLIT(K98,"|")</f>
        <v xml:space="preserve">Fosso Cailin </v>
      </c>
      <c r="M98" s="2" t="str">
        <v xml:space="preserve"> Norte</v>
      </c>
      <c r="N98" s="3">
        <v>28800</v>
      </c>
      <c r="O98" s="3">
        <f t="shared" si="16"/>
        <v>28800</v>
      </c>
      <c r="P98" s="4">
        <v>16000</v>
      </c>
      <c r="Q98" s="5">
        <f t="shared" si="17"/>
        <v>16000</v>
      </c>
      <c r="R98" s="2" t="s">
        <v>29</v>
      </c>
      <c r="S98" s="2" t="str">
        <f t="shared" si="18"/>
        <v>Sim</v>
      </c>
      <c r="T98" s="2" t="str">
        <f t="shared" si="19"/>
        <v>Sim</v>
      </c>
      <c r="U98" s="2">
        <v>44</v>
      </c>
      <c r="V98" s="2">
        <f t="shared" si="20"/>
        <v>44</v>
      </c>
      <c r="W98" s="2" t="str">
        <f t="shared" si="21"/>
        <v>alto</v>
      </c>
      <c r="X98" s="5">
        <v>59000</v>
      </c>
      <c r="Y98" t="str">
        <f t="shared" si="22"/>
        <v>Negativo</v>
      </c>
      <c r="Z98" t="str">
        <f t="shared" si="23"/>
        <v>Positivo</v>
      </c>
      <c r="AA98" s="1">
        <f>IF(AND(Y98="Negativo",Z98="Negativo"),0,IF(AND(B98="Ativo",OR(Y98="Positivo",Z98="Positivo")),X98*8%,0))</f>
        <v>4720</v>
      </c>
    </row>
    <row r="99" spans="1:27">
      <c r="A99" s="2" t="s">
        <v>24</v>
      </c>
      <c r="B99" s="2" t="str">
        <f t="shared" si="12"/>
        <v>Ativo</v>
      </c>
      <c r="C99" s="2" t="s">
        <v>261</v>
      </c>
      <c r="D99" s="2" t="str">
        <f t="shared" si="13"/>
        <v>Stannis Redwyne</v>
      </c>
      <c r="E99" s="2" t="s">
        <v>262</v>
      </c>
      <c r="F99" s="2" t="str">
        <f t="shared" si="14"/>
        <v>000.000.216-00</v>
      </c>
      <c r="G99" s="2">
        <v>34</v>
      </c>
      <c r="H99" s="2">
        <f ca="1">IF(G99="", DATEDIF(J99, TODAY(), "Y"), G99)</f>
        <v>34</v>
      </c>
      <c r="I99" s="2">
        <v>33835</v>
      </c>
      <c r="J99" s="6">
        <f t="shared" si="15"/>
        <v>33835</v>
      </c>
      <c r="K99" s="2" t="s">
        <v>263</v>
      </c>
      <c r="L99" s="2" t="str" cm="1">
        <f t="array" ref="L99:M99">_xlfn.TEXTSPLIT(K99,"|")</f>
        <v xml:space="preserve">Jardim de Cima </v>
      </c>
      <c r="M99" s="2" t="str">
        <v xml:space="preserve"> Campina</v>
      </c>
      <c r="N99" s="3">
        <v>5100</v>
      </c>
      <c r="O99" s="3">
        <f t="shared" si="16"/>
        <v>5100</v>
      </c>
      <c r="P99" s="4">
        <v>17000</v>
      </c>
      <c r="Q99" s="5">
        <f t="shared" si="17"/>
        <v>17000</v>
      </c>
      <c r="R99" s="2" t="s">
        <v>46</v>
      </c>
      <c r="S99" s="2" t="str">
        <f t="shared" si="18"/>
        <v>Não</v>
      </c>
      <c r="T99" s="2" t="str">
        <f t="shared" si="19"/>
        <v>Não</v>
      </c>
      <c r="U99" s="2">
        <v>3</v>
      </c>
      <c r="V99" s="2">
        <f t="shared" si="20"/>
        <v>3</v>
      </c>
      <c r="W99" s="2" t="str">
        <f t="shared" si="21"/>
        <v>baixo</v>
      </c>
      <c r="X99" s="5">
        <v>4500</v>
      </c>
      <c r="Y99" t="str">
        <f t="shared" si="22"/>
        <v>Positivo</v>
      </c>
      <c r="Z99" t="str">
        <f t="shared" si="23"/>
        <v>Positivo</v>
      </c>
      <c r="AA99" s="1">
        <f>IF(AND(Y99="Negativo",Z99="Negativo"),0,IF(AND(B99="Ativo",OR(Y99="Positivo",Z99="Positivo")),X99*8%,0))</f>
        <v>360</v>
      </c>
    </row>
    <row r="100" spans="1:27">
      <c r="A100" s="2" t="s">
        <v>24</v>
      </c>
      <c r="B100" s="2" t="str">
        <f t="shared" si="12"/>
        <v>Ativo</v>
      </c>
      <c r="C100" s="2" t="s">
        <v>235</v>
      </c>
      <c r="D100" s="2" t="str">
        <f t="shared" si="13"/>
        <v>Yara Royce</v>
      </c>
      <c r="E100" s="2" t="s">
        <v>264</v>
      </c>
      <c r="F100" s="2" t="str">
        <f t="shared" si="14"/>
        <v>000.000.277-00</v>
      </c>
      <c r="G100" s="2">
        <v>65</v>
      </c>
      <c r="H100" s="2">
        <f ca="1">IF(G100="", DATEDIF(J100, TODAY(), "Y"), G100)</f>
        <v>65</v>
      </c>
      <c r="I100" s="6">
        <v>22436</v>
      </c>
      <c r="J100" s="6">
        <f t="shared" si="15"/>
        <v>22436</v>
      </c>
      <c r="K100" s="2" t="s">
        <v>27</v>
      </c>
      <c r="L100" s="2" t="str" cm="1">
        <f t="array" ref="L100">_xlfn.TEXTSPLIT(K100,"|")</f>
        <v>Ninho da Águia</v>
      </c>
      <c r="M100" s="2" t="s">
        <v>45</v>
      </c>
      <c r="N100" s="3">
        <v>12700</v>
      </c>
      <c r="O100" s="3">
        <f t="shared" si="16"/>
        <v>12700</v>
      </c>
      <c r="P100" s="4">
        <v>60500</v>
      </c>
      <c r="Q100" s="5">
        <f t="shared" si="17"/>
        <v>60500</v>
      </c>
      <c r="R100" s="2" t="s">
        <v>46</v>
      </c>
      <c r="S100" s="2" t="str">
        <f t="shared" si="18"/>
        <v>Não</v>
      </c>
      <c r="T100" s="2" t="str">
        <f t="shared" si="19"/>
        <v>Não</v>
      </c>
      <c r="U100" s="2">
        <v>36</v>
      </c>
      <c r="V100" s="2">
        <f t="shared" si="20"/>
        <v>36</v>
      </c>
      <c r="W100" s="2" t="str">
        <f t="shared" si="21"/>
        <v>alto</v>
      </c>
      <c r="X100" s="5">
        <v>28000</v>
      </c>
      <c r="Y100" t="str">
        <f t="shared" si="22"/>
        <v>Positivo</v>
      </c>
      <c r="Z100" t="str">
        <f t="shared" si="23"/>
        <v>Positivo</v>
      </c>
      <c r="AA100" s="1">
        <f>IF(AND(Y100="Negativo",Z100="Negativo"),0,IF(AND(B100="Ativo",OR(Y100="Positivo",Z100="Positivo")),X100*8%,0))</f>
        <v>2240</v>
      </c>
    </row>
    <row r="101" spans="1:27">
      <c r="A101" s="2" t="s">
        <v>30</v>
      </c>
      <c r="B101" s="2" t="str">
        <f t="shared" si="12"/>
        <v>Inativo</v>
      </c>
      <c r="C101" s="2" t="s">
        <v>265</v>
      </c>
      <c r="D101" s="2" t="str">
        <f t="shared" si="13"/>
        <v>Loras Baelish</v>
      </c>
      <c r="E101" s="2" t="s">
        <v>266</v>
      </c>
      <c r="F101" s="2" t="str">
        <f t="shared" si="14"/>
        <v>000.000.217-00</v>
      </c>
      <c r="G101" s="2">
        <v>68</v>
      </c>
      <c r="H101" s="2">
        <f ca="1">IF(G101="", DATEDIF(J101, TODAY(), "Y"), G101)</f>
        <v>68</v>
      </c>
      <c r="I101" s="6">
        <v>21205</v>
      </c>
      <c r="J101" s="6">
        <f t="shared" si="15"/>
        <v>21205</v>
      </c>
      <c r="K101" s="2" t="s">
        <v>110</v>
      </c>
      <c r="L101" s="2" t="str" cm="1">
        <f t="array" ref="L101">_xlfn.TEXTSPLIT(K101,"|")</f>
        <v>Jardim de Cima</v>
      </c>
      <c r="M101" s="2" t="s">
        <v>87</v>
      </c>
      <c r="N101" s="3">
        <v>8200</v>
      </c>
      <c r="O101" s="3">
        <f t="shared" si="16"/>
        <v>8200</v>
      </c>
      <c r="P101" s="4">
        <v>66000</v>
      </c>
      <c r="Q101" s="5">
        <f t="shared" si="17"/>
        <v>66000</v>
      </c>
      <c r="R101" s="2" t="s">
        <v>46</v>
      </c>
      <c r="S101" s="2" t="str">
        <f t="shared" si="18"/>
        <v>Não</v>
      </c>
      <c r="T101" s="2" t="str">
        <f t="shared" si="19"/>
        <v>Não</v>
      </c>
      <c r="U101" s="2">
        <v>16</v>
      </c>
      <c r="V101" s="2">
        <f t="shared" si="20"/>
        <v>16</v>
      </c>
      <c r="W101" s="2" t="str">
        <f t="shared" si="21"/>
        <v>médio</v>
      </c>
      <c r="X101" s="5">
        <v>84000</v>
      </c>
      <c r="Y101" t="str">
        <f t="shared" si="22"/>
        <v>Positivo</v>
      </c>
      <c r="Z101" t="str">
        <f t="shared" si="23"/>
        <v>Positivo</v>
      </c>
      <c r="AA101" s="1">
        <f>IF(AND(Y101="Negativo",Z101="Negativo"),0,IF(AND(B101="Ativo",OR(Y101="Positivo",Z101="Positivo")),X101*8%,0))</f>
        <v>0</v>
      </c>
    </row>
    <row r="102" spans="1:27">
      <c r="A102" s="2" t="s">
        <v>30</v>
      </c>
      <c r="B102" s="2" t="str">
        <f t="shared" si="12"/>
        <v>Inativo</v>
      </c>
      <c r="C102" s="2" t="s">
        <v>267</v>
      </c>
      <c r="D102" s="2" t="str">
        <f t="shared" si="13"/>
        <v>Viserys Florent</v>
      </c>
      <c r="E102" s="2" t="s">
        <v>268</v>
      </c>
      <c r="F102" s="2" t="str">
        <f t="shared" si="14"/>
        <v>000.000.129-00</v>
      </c>
      <c r="G102" s="2">
        <v>59</v>
      </c>
      <c r="H102" s="2">
        <f ca="1">IF(G102="", DATEDIF(J102, TODAY(), "Y"), G102)</f>
        <v>59</v>
      </c>
      <c r="I102" s="6">
        <v>24554</v>
      </c>
      <c r="J102" s="6">
        <f t="shared" si="15"/>
        <v>24554</v>
      </c>
      <c r="K102" s="2" t="s">
        <v>63</v>
      </c>
      <c r="L102" s="2" t="str" cm="1">
        <f t="array" ref="L102">_xlfn.TEXTSPLIT(K102,"|")</f>
        <v>Meereen</v>
      </c>
      <c r="M102" s="2" t="s">
        <v>64</v>
      </c>
      <c r="N102" s="3">
        <v>15200</v>
      </c>
      <c r="O102" s="3">
        <f t="shared" si="16"/>
        <v>15200</v>
      </c>
      <c r="P102" s="4">
        <v>11000</v>
      </c>
      <c r="Q102" s="5">
        <f t="shared" si="17"/>
        <v>11000</v>
      </c>
      <c r="R102" s="2" t="s">
        <v>176</v>
      </c>
      <c r="S102" s="2" t="str">
        <f t="shared" si="18"/>
        <v>NÃO</v>
      </c>
      <c r="T102" s="2" t="str">
        <f t="shared" si="19"/>
        <v>Não</v>
      </c>
      <c r="U102" s="2">
        <v>27</v>
      </c>
      <c r="V102" s="2">
        <f t="shared" si="20"/>
        <v>27</v>
      </c>
      <c r="W102" s="2" t="str">
        <f t="shared" si="21"/>
        <v>alto</v>
      </c>
      <c r="X102" s="5">
        <v>87000</v>
      </c>
      <c r="Y102" t="str">
        <f t="shared" si="22"/>
        <v>Positivo</v>
      </c>
      <c r="Z102" t="str">
        <f t="shared" si="23"/>
        <v>Positivo</v>
      </c>
      <c r="AA102" s="1">
        <f>IF(AND(Y102="Negativo",Z102="Negativo"),0,IF(AND(B102="Ativo",OR(Y102="Positivo",Z102="Positivo")),X102*8%,0))</f>
        <v>0</v>
      </c>
    </row>
    <row r="103" spans="1:27">
      <c r="A103" s="2" t="s">
        <v>24</v>
      </c>
      <c r="B103" s="2" t="str">
        <f t="shared" si="12"/>
        <v>Ativo</v>
      </c>
      <c r="C103" s="2" t="s">
        <v>269</v>
      </c>
      <c r="D103" s="2" t="str">
        <f t="shared" si="13"/>
        <v>Jon Marbrand</v>
      </c>
      <c r="E103" s="2" t="s">
        <v>270</v>
      </c>
      <c r="F103" s="2" t="str">
        <f t="shared" si="14"/>
        <v>000.000.359-00</v>
      </c>
      <c r="G103" s="2">
        <v>29</v>
      </c>
      <c r="H103" s="2">
        <f ca="1">IF(G103="", DATEDIF(J103, TODAY(), "Y"), G103)</f>
        <v>29</v>
      </c>
      <c r="I103" s="2">
        <v>35600</v>
      </c>
      <c r="J103" s="6">
        <f t="shared" si="15"/>
        <v>35600</v>
      </c>
      <c r="K103" s="2" t="s">
        <v>158</v>
      </c>
      <c r="L103" s="2" t="str" cm="1">
        <f t="array" ref="L103">_xlfn.TEXTSPLIT(K103,"|")</f>
        <v>Porto Real</v>
      </c>
      <c r="M103" s="2" t="s">
        <v>253</v>
      </c>
      <c r="N103" s="3">
        <v>10000</v>
      </c>
      <c r="O103" s="3">
        <f t="shared" si="16"/>
        <v>10000</v>
      </c>
      <c r="P103" s="4">
        <v>25500</v>
      </c>
      <c r="Q103" s="5">
        <f t="shared" si="17"/>
        <v>25500</v>
      </c>
      <c r="R103" s="2" t="s">
        <v>46</v>
      </c>
      <c r="S103" s="2" t="str">
        <f t="shared" si="18"/>
        <v>Não</v>
      </c>
      <c r="T103" s="2" t="str">
        <f t="shared" si="19"/>
        <v>Não</v>
      </c>
      <c r="U103" s="2">
        <v>15</v>
      </c>
      <c r="V103" s="2">
        <f t="shared" si="20"/>
        <v>15</v>
      </c>
      <c r="W103" s="2" t="str">
        <f t="shared" si="21"/>
        <v>médio</v>
      </c>
      <c r="X103" s="5">
        <v>66000</v>
      </c>
      <c r="Y103" t="str">
        <f t="shared" si="22"/>
        <v>Positivo</v>
      </c>
      <c r="Z103" t="str">
        <f t="shared" si="23"/>
        <v>Positivo</v>
      </c>
      <c r="AA103" s="1">
        <f>IF(AND(Y103="Negativo",Z103="Negativo"),0,IF(AND(B103="Ativo",OR(Y103="Positivo",Z103="Positivo")),X103*8%,0))</f>
        <v>5280</v>
      </c>
    </row>
    <row r="104" spans="1:27">
      <c r="A104" s="2" t="s">
        <v>24</v>
      </c>
      <c r="B104" s="2" t="str">
        <f t="shared" si="12"/>
        <v>Ativo</v>
      </c>
      <c r="C104" s="2" t="s">
        <v>271</v>
      </c>
      <c r="D104" s="2" t="str">
        <f t="shared" si="13"/>
        <v>Aegon Bracken</v>
      </c>
      <c r="E104" s="2" t="s">
        <v>272</v>
      </c>
      <c r="F104" s="2" t="str">
        <f t="shared" si="14"/>
        <v>000.000.244-00</v>
      </c>
      <c r="G104" s="2">
        <v>69</v>
      </c>
      <c r="H104" s="2">
        <f ca="1">IF(G104="", DATEDIF(J104, TODAY(), "Y"), G104)</f>
        <v>69</v>
      </c>
      <c r="I104" s="2">
        <v>20725</v>
      </c>
      <c r="J104" s="6">
        <f t="shared" si="15"/>
        <v>20725</v>
      </c>
      <c r="K104" s="2" t="s">
        <v>77</v>
      </c>
      <c r="L104" s="2" t="str" cm="1">
        <f t="array" ref="L104">_xlfn.TEXTSPLIT(K104,"|")</f>
        <v>Correrrio</v>
      </c>
      <c r="M104" s="2" t="s">
        <v>273</v>
      </c>
      <c r="N104" s="3">
        <v>8100</v>
      </c>
      <c r="O104" s="3">
        <f t="shared" si="16"/>
        <v>8100</v>
      </c>
      <c r="P104" s="4">
        <v>27500</v>
      </c>
      <c r="Q104" s="5">
        <f t="shared" si="17"/>
        <v>27500</v>
      </c>
      <c r="R104" s="2" t="s">
        <v>176</v>
      </c>
      <c r="S104" s="2" t="str">
        <f t="shared" si="18"/>
        <v>NÃO</v>
      </c>
      <c r="T104" s="2" t="str">
        <f t="shared" si="19"/>
        <v>Não</v>
      </c>
      <c r="U104" s="2">
        <v>42</v>
      </c>
      <c r="V104" s="2">
        <f t="shared" si="20"/>
        <v>42</v>
      </c>
      <c r="W104" s="2" t="str">
        <f t="shared" si="21"/>
        <v>alto</v>
      </c>
      <c r="X104" s="5">
        <v>72500</v>
      </c>
      <c r="Y104" t="str">
        <f t="shared" si="22"/>
        <v>Positivo</v>
      </c>
      <c r="Z104" t="str">
        <f t="shared" si="23"/>
        <v>Positivo</v>
      </c>
      <c r="AA104" s="1">
        <f>IF(AND(Y104="Negativo",Z104="Negativo"),0,IF(AND(B104="Ativo",OR(Y104="Positivo",Z104="Positivo")),X104*8%,0))</f>
        <v>5800</v>
      </c>
    </row>
    <row r="105" spans="1:27">
      <c r="A105" s="2" t="s">
        <v>24</v>
      </c>
      <c r="B105" s="2" t="str">
        <f t="shared" si="12"/>
        <v>Ativo</v>
      </c>
      <c r="C105" s="2" t="s">
        <v>217</v>
      </c>
      <c r="D105" s="2" t="str">
        <f t="shared" si="13"/>
        <v>Daenerys Tallhart</v>
      </c>
      <c r="E105" s="2" t="s">
        <v>218</v>
      </c>
      <c r="F105" s="2" t="str">
        <f t="shared" si="14"/>
        <v>000.000.092-00</v>
      </c>
      <c r="G105" s="2">
        <v>37</v>
      </c>
      <c r="H105" s="2">
        <f ca="1">IF(G105="", DATEDIF(J105, TODAY(), "Y"), G105)</f>
        <v>37</v>
      </c>
      <c r="I105" s="2">
        <v>32543</v>
      </c>
      <c r="J105" s="6">
        <f t="shared" si="15"/>
        <v>32543</v>
      </c>
      <c r="K105" s="2" t="s">
        <v>86</v>
      </c>
      <c r="L105" s="2" t="str" cm="1">
        <f t="array" ref="L105">_xlfn.TEXTSPLIT(K105,"|")</f>
        <v>Vilavelha</v>
      </c>
      <c r="M105" s="2" t="s">
        <v>87</v>
      </c>
      <c r="N105" s="3">
        <v>29200</v>
      </c>
      <c r="O105" s="3">
        <f t="shared" si="16"/>
        <v>29200</v>
      </c>
      <c r="P105" s="4">
        <v>45000</v>
      </c>
      <c r="Q105" s="5">
        <f t="shared" si="17"/>
        <v>45000</v>
      </c>
      <c r="R105" s="2" t="s">
        <v>46</v>
      </c>
      <c r="S105" s="2" t="str">
        <f t="shared" si="18"/>
        <v>Não</v>
      </c>
      <c r="T105" s="2" t="str">
        <f t="shared" si="19"/>
        <v>Não</v>
      </c>
      <c r="U105" s="2">
        <v>26</v>
      </c>
      <c r="V105" s="2">
        <f t="shared" si="20"/>
        <v>26</v>
      </c>
      <c r="W105" s="2" t="str">
        <f t="shared" si="21"/>
        <v>alto</v>
      </c>
      <c r="X105" s="5">
        <v>78000</v>
      </c>
      <c r="Y105" t="str">
        <f t="shared" si="22"/>
        <v>Positivo</v>
      </c>
      <c r="Z105" t="str">
        <f t="shared" si="23"/>
        <v>Positivo</v>
      </c>
      <c r="AA105" s="1">
        <f>IF(AND(Y105="Negativo",Z105="Negativo"),0,IF(AND(B105="Ativo",OR(Y105="Positivo",Z105="Positivo")),X105*8%,0))</f>
        <v>6240</v>
      </c>
    </row>
    <row r="106" spans="1:27">
      <c r="A106" s="2" t="s">
        <v>30</v>
      </c>
      <c r="B106" s="2" t="str">
        <f t="shared" si="12"/>
        <v>Inativo</v>
      </c>
      <c r="C106" s="2" t="s">
        <v>274</v>
      </c>
      <c r="D106" s="2" t="str">
        <f t="shared" si="13"/>
        <v>Loras Payne</v>
      </c>
      <c r="E106" s="2" t="s">
        <v>275</v>
      </c>
      <c r="F106" s="2" t="str">
        <f t="shared" si="14"/>
        <v>000.000.027-00</v>
      </c>
      <c r="G106" s="2">
        <v>30</v>
      </c>
      <c r="H106" s="2">
        <f ca="1">IF(G106="", DATEDIF(J106, TODAY(), "Y"), G106)</f>
        <v>30</v>
      </c>
      <c r="I106" s="6">
        <v>35200</v>
      </c>
      <c r="J106" s="6">
        <f t="shared" si="15"/>
        <v>35200</v>
      </c>
      <c r="K106" s="2" t="s">
        <v>68</v>
      </c>
      <c r="L106" s="2" t="str" cm="1">
        <f t="array" ref="L106">_xlfn.TEXTSPLIT(K106,"|")</f>
        <v>Braavos</v>
      </c>
      <c r="M106" s="2" t="s">
        <v>187</v>
      </c>
      <c r="N106" s="3">
        <v>26500</v>
      </c>
      <c r="O106" s="3">
        <f t="shared" si="16"/>
        <v>26500</v>
      </c>
      <c r="P106" s="4">
        <v>14500</v>
      </c>
      <c r="Q106" s="5">
        <f t="shared" si="17"/>
        <v>14500</v>
      </c>
      <c r="R106" s="2">
        <v>0</v>
      </c>
      <c r="S106" s="2" t="str">
        <f t="shared" si="18"/>
        <v>não</v>
      </c>
      <c r="T106" s="2" t="str">
        <f t="shared" si="19"/>
        <v>Não</v>
      </c>
      <c r="U106" s="2">
        <v>15</v>
      </c>
      <c r="V106" s="2">
        <f t="shared" si="20"/>
        <v>15</v>
      </c>
      <c r="W106" s="2" t="str">
        <f t="shared" si="21"/>
        <v>médio</v>
      </c>
      <c r="X106" s="5">
        <v>65500</v>
      </c>
      <c r="Y106" t="str">
        <f t="shared" si="22"/>
        <v>Positivo</v>
      </c>
      <c r="Z106" t="str">
        <f t="shared" si="23"/>
        <v>Positivo</v>
      </c>
      <c r="AA106" s="1">
        <f>IF(AND(Y106="Negativo",Z106="Negativo"),0,IF(AND(B106="Ativo",OR(Y106="Positivo",Z106="Positivo")),X106*8%,0))</f>
        <v>0</v>
      </c>
    </row>
    <row r="107" spans="1:27">
      <c r="A107" s="2" t="s">
        <v>24</v>
      </c>
      <c r="B107" s="2" t="str">
        <f t="shared" si="12"/>
        <v>Ativo</v>
      </c>
      <c r="C107" s="2" t="s">
        <v>276</v>
      </c>
      <c r="D107" s="2" t="str">
        <f t="shared" si="13"/>
        <v>Missandei  Tarly</v>
      </c>
      <c r="E107" s="2" t="s">
        <v>277</v>
      </c>
      <c r="F107" s="2" t="str">
        <f t="shared" si="14"/>
        <v>000.000.196-00</v>
      </c>
      <c r="G107" s="2">
        <v>58</v>
      </c>
      <c r="H107" s="2">
        <f ca="1">IF(G107="", DATEDIF(J107, TODAY(), "Y"), G107)</f>
        <v>58</v>
      </c>
      <c r="I107" s="2">
        <v>24905</v>
      </c>
      <c r="J107" s="6">
        <f t="shared" si="15"/>
        <v>24905</v>
      </c>
      <c r="K107" s="2" t="s">
        <v>63</v>
      </c>
      <c r="L107" s="2" t="str" cm="1">
        <f t="array" ref="L107">_xlfn.TEXTSPLIT(K107,"|")</f>
        <v>Meereen</v>
      </c>
      <c r="M107" s="2" t="s">
        <v>187</v>
      </c>
      <c r="N107" s="3">
        <v>12400</v>
      </c>
      <c r="O107" s="3">
        <f t="shared" si="16"/>
        <v>12400</v>
      </c>
      <c r="P107" s="4">
        <v>21500</v>
      </c>
      <c r="Q107" s="5">
        <f t="shared" si="17"/>
        <v>21500</v>
      </c>
      <c r="R107" s="2" t="s">
        <v>29</v>
      </c>
      <c r="S107" s="2" t="str">
        <f t="shared" si="18"/>
        <v>Sim</v>
      </c>
      <c r="T107" s="2" t="str">
        <f t="shared" si="19"/>
        <v>Sim</v>
      </c>
      <c r="U107" s="2">
        <v>24</v>
      </c>
      <c r="V107" s="2">
        <f t="shared" si="20"/>
        <v>24</v>
      </c>
      <c r="W107" s="2" t="str">
        <f t="shared" si="21"/>
        <v>médio</v>
      </c>
      <c r="X107" s="5">
        <v>80000</v>
      </c>
      <c r="Y107" t="str">
        <f t="shared" si="22"/>
        <v>Positivo</v>
      </c>
      <c r="Z107" t="str">
        <f t="shared" si="23"/>
        <v>Positivo</v>
      </c>
      <c r="AA107" s="1">
        <f>IF(AND(Y107="Negativo",Z107="Negativo"),0,IF(AND(B107="Ativo",OR(Y107="Positivo",Z107="Positivo")),X107*8%,0))</f>
        <v>6400</v>
      </c>
    </row>
    <row r="108" spans="1:27">
      <c r="A108" s="2" t="s">
        <v>24</v>
      </c>
      <c r="B108" s="2" t="str">
        <f t="shared" si="12"/>
        <v>Ativo</v>
      </c>
      <c r="C108" s="2" t="s">
        <v>278</v>
      </c>
      <c r="D108" s="2" t="str">
        <f t="shared" si="13"/>
        <v>Aegon Baelish</v>
      </c>
      <c r="E108" s="2">
        <v>24000</v>
      </c>
      <c r="F108" s="2" t="str">
        <f t="shared" si="14"/>
        <v>000.000.240-00</v>
      </c>
      <c r="G108" s="2">
        <v>47</v>
      </c>
      <c r="H108" s="2">
        <f ca="1">IF(G108="", DATEDIF(J108, TODAY(), "Y"), G108)</f>
        <v>47</v>
      </c>
      <c r="I108" s="6">
        <v>29031</v>
      </c>
      <c r="J108" s="6">
        <f t="shared" si="15"/>
        <v>29031</v>
      </c>
      <c r="K108" s="2" t="s">
        <v>279</v>
      </c>
      <c r="L108" s="2" t="str" cm="1">
        <f t="array" ref="L108:M108">_xlfn.TEXTSPLIT(K108,"|")</f>
        <v xml:space="preserve">Meereen </v>
      </c>
      <c r="M108" s="2" t="str">
        <v xml:space="preserve"> Essos</v>
      </c>
      <c r="N108" s="3">
        <v>28400</v>
      </c>
      <c r="O108" s="3">
        <f t="shared" si="16"/>
        <v>28400</v>
      </c>
      <c r="P108" s="4">
        <v>78000</v>
      </c>
      <c r="Q108" s="5">
        <f t="shared" si="17"/>
        <v>78000</v>
      </c>
      <c r="R108" s="2" t="s">
        <v>46</v>
      </c>
      <c r="S108" s="2" t="str">
        <f t="shared" si="18"/>
        <v>Não</v>
      </c>
      <c r="T108" s="2" t="str">
        <f t="shared" si="19"/>
        <v>Não</v>
      </c>
      <c r="U108" s="2">
        <v>37</v>
      </c>
      <c r="V108" s="2">
        <f t="shared" si="20"/>
        <v>37</v>
      </c>
      <c r="W108" s="2" t="str">
        <f t="shared" si="21"/>
        <v>alto</v>
      </c>
      <c r="X108" s="5">
        <v>99000</v>
      </c>
      <c r="Y108" t="str">
        <f t="shared" si="22"/>
        <v>Positivo</v>
      </c>
      <c r="Z108" t="str">
        <f t="shared" si="23"/>
        <v>Positivo</v>
      </c>
      <c r="AA108" s="1">
        <f>IF(AND(Y108="Negativo",Z108="Negativo"),0,IF(AND(B108="Ativo",OR(Y108="Positivo",Z108="Positivo")),X108*8%,0))</f>
        <v>7920</v>
      </c>
    </row>
    <row r="109" spans="1:27">
      <c r="A109" s="2" t="s">
        <v>24</v>
      </c>
      <c r="B109" s="2" t="str">
        <f t="shared" si="12"/>
        <v>Ativo</v>
      </c>
      <c r="C109" s="2" t="s">
        <v>280</v>
      </c>
      <c r="D109" s="2" t="str">
        <f t="shared" si="13"/>
        <v>Melisandre Targaryen</v>
      </c>
      <c r="E109" s="2" t="s">
        <v>281</v>
      </c>
      <c r="F109" s="2" t="str">
        <f t="shared" si="14"/>
        <v>000.000.170-00</v>
      </c>
      <c r="G109" s="2">
        <v>31</v>
      </c>
      <c r="H109" s="2">
        <f ca="1">IF(G109="", DATEDIF(J109, TODAY(), "Y"), G109)</f>
        <v>31</v>
      </c>
      <c r="I109" s="6">
        <v>34852</v>
      </c>
      <c r="J109" s="6">
        <f t="shared" si="15"/>
        <v>34852</v>
      </c>
      <c r="K109" s="2" t="s">
        <v>149</v>
      </c>
      <c r="L109" s="2" t="str" cm="1">
        <f t="array" ref="L109:M109">_xlfn.TEXTSPLIT(K109,"|")</f>
        <v xml:space="preserve">Fosso Cailin </v>
      </c>
      <c r="M109" s="2" t="str">
        <v xml:space="preserve"> Norte</v>
      </c>
      <c r="N109" s="3">
        <v>20500</v>
      </c>
      <c r="O109" s="3">
        <f t="shared" si="16"/>
        <v>20500</v>
      </c>
      <c r="P109" s="4">
        <v>47500</v>
      </c>
      <c r="Q109" s="5">
        <f t="shared" si="17"/>
        <v>47500</v>
      </c>
      <c r="R109" s="2" t="s">
        <v>46</v>
      </c>
      <c r="S109" s="2" t="str">
        <f t="shared" si="18"/>
        <v>Não</v>
      </c>
      <c r="T109" s="2" t="str">
        <f t="shared" si="19"/>
        <v>Não</v>
      </c>
      <c r="U109" s="2">
        <v>11</v>
      </c>
      <c r="V109" s="2">
        <f t="shared" si="20"/>
        <v>11</v>
      </c>
      <c r="W109" s="2" t="str">
        <f t="shared" si="21"/>
        <v>médio</v>
      </c>
      <c r="X109" s="5">
        <v>18500</v>
      </c>
      <c r="Y109" t="str">
        <f t="shared" si="22"/>
        <v>Positivo</v>
      </c>
      <c r="Z109" t="str">
        <f t="shared" si="23"/>
        <v>Positivo</v>
      </c>
      <c r="AA109" s="1">
        <f>IF(AND(Y109="Negativo",Z109="Negativo"),0,IF(AND(B109="Ativo",OR(Y109="Positivo",Z109="Positivo")),X109*8%,0))</f>
        <v>1480</v>
      </c>
    </row>
    <row r="110" spans="1:27">
      <c r="A110" s="2" t="s">
        <v>282</v>
      </c>
      <c r="B110" s="2" t="str">
        <f t="shared" si="12"/>
        <v>Inativo</v>
      </c>
      <c r="C110" s="2" t="s">
        <v>283</v>
      </c>
      <c r="D110" s="2" t="str">
        <f t="shared" si="13"/>
        <v>Roose Cerwyn</v>
      </c>
      <c r="E110" s="2" t="s">
        <v>284</v>
      </c>
      <c r="F110" s="2" t="str">
        <f t="shared" si="14"/>
        <v>000.000.047-00</v>
      </c>
      <c r="G110" s="2">
        <v>63</v>
      </c>
      <c r="H110" s="2">
        <f ca="1">IF(G110="", DATEDIF(J110, TODAY(), "Y"), G110)</f>
        <v>63</v>
      </c>
      <c r="I110" s="2">
        <v>23084</v>
      </c>
      <c r="J110" s="6">
        <f t="shared" si="15"/>
        <v>23084</v>
      </c>
      <c r="K110" s="2" t="s">
        <v>86</v>
      </c>
      <c r="L110" s="2" t="str" cm="1">
        <f t="array" ref="L110">_xlfn.TEXTSPLIT(K110,"|")</f>
        <v>Vilavelha</v>
      </c>
      <c r="M110" s="2" t="s">
        <v>87</v>
      </c>
      <c r="N110" s="3">
        <v>17300</v>
      </c>
      <c r="O110" s="3">
        <f t="shared" si="16"/>
        <v>17300</v>
      </c>
      <c r="P110" s="4">
        <v>22000</v>
      </c>
      <c r="Q110" s="5">
        <f t="shared" si="17"/>
        <v>22000</v>
      </c>
      <c r="R110" s="2" t="s">
        <v>46</v>
      </c>
      <c r="S110" s="2" t="str">
        <f t="shared" si="18"/>
        <v>Não</v>
      </c>
      <c r="T110" s="2" t="str">
        <f t="shared" si="19"/>
        <v>Não</v>
      </c>
      <c r="U110" s="2">
        <v>10</v>
      </c>
      <c r="V110" s="2">
        <f t="shared" si="20"/>
        <v>10</v>
      </c>
      <c r="W110" s="2" t="str">
        <f t="shared" si="21"/>
        <v>baixo</v>
      </c>
      <c r="X110" s="5">
        <v>97000</v>
      </c>
      <c r="Y110" t="str">
        <f t="shared" si="22"/>
        <v>Positivo</v>
      </c>
      <c r="Z110" t="str">
        <f t="shared" si="23"/>
        <v>Positivo</v>
      </c>
      <c r="AA110" s="1">
        <f>IF(AND(Y110="Negativo",Z110="Negativo"),0,IF(AND(B110="Ativo",OR(Y110="Positivo",Z110="Positivo")),X110*8%,0))</f>
        <v>0</v>
      </c>
    </row>
    <row r="111" spans="1:27">
      <c r="A111" s="2" t="s">
        <v>24</v>
      </c>
      <c r="B111" s="2" t="str">
        <f t="shared" si="12"/>
        <v>Ativo</v>
      </c>
      <c r="C111" s="2" t="s">
        <v>285</v>
      </c>
      <c r="D111" s="2" t="str">
        <f t="shared" si="13"/>
        <v>Shae Frey</v>
      </c>
      <c r="E111" s="2">
        <v>12700</v>
      </c>
      <c r="F111" s="2" t="str">
        <f t="shared" si="14"/>
        <v>000.000.127-00</v>
      </c>
      <c r="G111" s="2">
        <v>26</v>
      </c>
      <c r="H111" s="2">
        <f ca="1">IF(G111="", DATEDIF(J111, TODAY(), "Y"), G111)</f>
        <v>26</v>
      </c>
      <c r="I111" s="6">
        <v>36518</v>
      </c>
      <c r="J111" s="6">
        <f t="shared" si="15"/>
        <v>36518</v>
      </c>
      <c r="K111" s="2" t="s">
        <v>92</v>
      </c>
      <c r="L111" s="2" t="str" cm="1">
        <f t="array" ref="L111">_xlfn.TEXTSPLIT(K111,"|")</f>
        <v>Ilha dos Ursos</v>
      </c>
      <c r="M111" s="2" t="s">
        <v>81</v>
      </c>
      <c r="N111" s="3">
        <v>5000</v>
      </c>
      <c r="O111" s="3">
        <f t="shared" si="16"/>
        <v>5000</v>
      </c>
      <c r="P111" s="4">
        <v>61500</v>
      </c>
      <c r="Q111" s="5">
        <f t="shared" si="17"/>
        <v>61500</v>
      </c>
      <c r="R111" s="2" t="s">
        <v>46</v>
      </c>
      <c r="S111" s="2" t="str">
        <f t="shared" si="18"/>
        <v>Não</v>
      </c>
      <c r="T111" s="2" t="str">
        <f t="shared" si="19"/>
        <v>Não</v>
      </c>
      <c r="U111" s="2">
        <v>35</v>
      </c>
      <c r="V111" s="2">
        <f t="shared" si="20"/>
        <v>35</v>
      </c>
      <c r="W111" s="2" t="str">
        <f t="shared" si="21"/>
        <v>alto</v>
      </c>
      <c r="X111" s="5">
        <v>18500</v>
      </c>
      <c r="Y111" t="str">
        <f t="shared" si="22"/>
        <v>Positivo</v>
      </c>
      <c r="Z111" t="str">
        <f t="shared" si="23"/>
        <v>Positivo</v>
      </c>
      <c r="AA111" s="1">
        <f>IF(AND(Y111="Negativo",Z111="Negativo"),0,IF(AND(B111="Ativo",OR(Y111="Positivo",Z111="Positivo")),X111*8%,0))</f>
        <v>1480</v>
      </c>
    </row>
    <row r="112" spans="1:27">
      <c r="A112" s="2" t="s">
        <v>24</v>
      </c>
      <c r="B112" s="2" t="str">
        <f t="shared" si="12"/>
        <v>Ativo</v>
      </c>
      <c r="C112" s="2" t="s">
        <v>286</v>
      </c>
      <c r="D112" s="2" t="str">
        <f t="shared" si="13"/>
        <v>Lyanna Swyft</v>
      </c>
      <c r="E112" s="2">
        <v>18000</v>
      </c>
      <c r="F112" s="2" t="str">
        <f t="shared" si="14"/>
        <v>000.000.180-00</v>
      </c>
      <c r="G112" s="2">
        <v>29</v>
      </c>
      <c r="H112" s="2">
        <f ca="1">IF(G112="", DATEDIF(J112, TODAY(), "Y"), G112)</f>
        <v>29</v>
      </c>
      <c r="I112" s="2">
        <v>35344</v>
      </c>
      <c r="J112" s="6">
        <f t="shared" si="15"/>
        <v>35344</v>
      </c>
      <c r="K112" s="2" t="s">
        <v>27</v>
      </c>
      <c r="L112" s="2" t="str" cm="1">
        <f t="array" ref="L112">_xlfn.TEXTSPLIT(K112,"|")</f>
        <v>Ninho da Águia</v>
      </c>
      <c r="M112" s="2" t="s">
        <v>45</v>
      </c>
      <c r="N112" s="3">
        <v>19900</v>
      </c>
      <c r="O112" s="3">
        <f t="shared" si="16"/>
        <v>19900</v>
      </c>
      <c r="P112" s="4">
        <v>49500</v>
      </c>
      <c r="Q112" s="5">
        <f t="shared" si="17"/>
        <v>49500</v>
      </c>
      <c r="R112" s="2" t="s">
        <v>29</v>
      </c>
      <c r="S112" s="2" t="str">
        <f t="shared" si="18"/>
        <v>Sim</v>
      </c>
      <c r="T112" s="2" t="str">
        <f t="shared" si="19"/>
        <v>Sim</v>
      </c>
      <c r="U112" s="2">
        <v>27</v>
      </c>
      <c r="V112" s="2">
        <f t="shared" si="20"/>
        <v>27</v>
      </c>
      <c r="W112" s="2" t="str">
        <f t="shared" si="21"/>
        <v>alto</v>
      </c>
      <c r="X112" s="5">
        <v>23000</v>
      </c>
      <c r="Y112" t="str">
        <f t="shared" si="22"/>
        <v>Negativo</v>
      </c>
      <c r="Z112" t="str">
        <f t="shared" si="23"/>
        <v>Positivo</v>
      </c>
      <c r="AA112" s="1">
        <f>IF(AND(Y112="Negativo",Z112="Negativo"),0,IF(AND(B112="Ativo",OR(Y112="Positivo",Z112="Positivo")),X112*8%,0))</f>
        <v>1840</v>
      </c>
    </row>
    <row r="113" spans="1:27">
      <c r="A113" s="2" t="s">
        <v>24</v>
      </c>
      <c r="B113" s="2" t="str">
        <f t="shared" si="12"/>
        <v>Ativo</v>
      </c>
      <c r="C113" s="2" t="s">
        <v>287</v>
      </c>
      <c r="D113" s="2" t="str">
        <f t="shared" si="13"/>
        <v>Rhaegar Targaryen</v>
      </c>
      <c r="E113" s="2" t="s">
        <v>288</v>
      </c>
      <c r="F113" s="2" t="str">
        <f t="shared" si="14"/>
        <v>000.000.342-00</v>
      </c>
      <c r="G113" s="2">
        <v>51</v>
      </c>
      <c r="H113" s="2">
        <f ca="1">IF(G113="", DATEDIF(J113, TODAY(), "Y"), G113)</f>
        <v>51</v>
      </c>
      <c r="I113" s="6">
        <v>27413</v>
      </c>
      <c r="J113" s="6">
        <f t="shared" si="15"/>
        <v>27413</v>
      </c>
      <c r="K113" s="2" t="s">
        <v>100</v>
      </c>
      <c r="L113" s="2" t="str" cm="1">
        <f t="array" ref="L113">_xlfn.TEXTSPLIT(K113,"|")</f>
        <v>Fosso Cailin</v>
      </c>
      <c r="M113" s="2" t="s">
        <v>93</v>
      </c>
      <c r="N113" s="3">
        <v>18500</v>
      </c>
      <c r="O113" s="3">
        <f t="shared" si="16"/>
        <v>18500</v>
      </c>
      <c r="P113" s="4">
        <v>69500</v>
      </c>
      <c r="Q113" s="5">
        <f t="shared" si="17"/>
        <v>69500</v>
      </c>
      <c r="R113" s="2" t="s">
        <v>46</v>
      </c>
      <c r="S113" s="2" t="str">
        <f t="shared" si="18"/>
        <v>Não</v>
      </c>
      <c r="T113" s="2" t="str">
        <f t="shared" si="19"/>
        <v>Não</v>
      </c>
      <c r="U113" s="2">
        <v>31</v>
      </c>
      <c r="V113" s="2">
        <f t="shared" si="20"/>
        <v>31</v>
      </c>
      <c r="W113" s="2" t="str">
        <f t="shared" si="21"/>
        <v>alto</v>
      </c>
      <c r="X113" s="5">
        <v>18000</v>
      </c>
      <c r="Y113" t="str">
        <f t="shared" si="22"/>
        <v>Positivo</v>
      </c>
      <c r="Z113" t="str">
        <f t="shared" si="23"/>
        <v>Positivo</v>
      </c>
      <c r="AA113" s="1">
        <f>IF(AND(Y113="Negativo",Z113="Negativo"),0,IF(AND(B113="Ativo",OR(Y113="Positivo",Z113="Positivo")),X113*8%,0))</f>
        <v>1440</v>
      </c>
    </row>
    <row r="114" spans="1:27">
      <c r="A114" s="2" t="s">
        <v>24</v>
      </c>
      <c r="B114" s="2" t="str">
        <f t="shared" si="12"/>
        <v>Ativo</v>
      </c>
      <c r="C114" s="2" t="s">
        <v>289</v>
      </c>
      <c r="D114" s="2" t="str">
        <f t="shared" si="13"/>
        <v>Varys Targaryen</v>
      </c>
      <c r="E114" s="2" t="s">
        <v>290</v>
      </c>
      <c r="F114" s="2" t="str">
        <f t="shared" si="14"/>
        <v>000.000.234-00</v>
      </c>
      <c r="G114" s="2">
        <v>46</v>
      </c>
      <c r="H114" s="2">
        <f ca="1">IF(G114="", DATEDIF(J114, TODAY(), "Y"), G114)</f>
        <v>46</v>
      </c>
      <c r="I114" s="6">
        <v>29197</v>
      </c>
      <c r="J114" s="6">
        <f t="shared" si="15"/>
        <v>29197</v>
      </c>
      <c r="K114" s="2" t="s">
        <v>63</v>
      </c>
      <c r="L114" s="2" t="str" cm="1">
        <f t="array" ref="L114">_xlfn.TEXTSPLIT(K114,"|")</f>
        <v>Meereen</v>
      </c>
      <c r="M114" s="2" t="s">
        <v>64</v>
      </c>
      <c r="N114" s="3">
        <v>3200</v>
      </c>
      <c r="O114" s="3">
        <f t="shared" si="16"/>
        <v>3200</v>
      </c>
      <c r="P114" s="4">
        <v>0</v>
      </c>
      <c r="Q114" s="5">
        <f t="shared" si="17"/>
        <v>0</v>
      </c>
      <c r="R114" s="2" t="s">
        <v>46</v>
      </c>
      <c r="S114" s="2" t="str">
        <f t="shared" si="18"/>
        <v>Não</v>
      </c>
      <c r="T114" s="2" t="str">
        <f t="shared" si="19"/>
        <v>Não</v>
      </c>
      <c r="U114" s="2">
        <v>16</v>
      </c>
      <c r="V114" s="2">
        <f t="shared" si="20"/>
        <v>16</v>
      </c>
      <c r="W114" s="2" t="str">
        <f t="shared" si="21"/>
        <v>médio</v>
      </c>
      <c r="X114" s="5">
        <v>61500</v>
      </c>
      <c r="Y114" t="str">
        <f t="shared" si="22"/>
        <v>Positivo</v>
      </c>
      <c r="Z114" t="str">
        <f t="shared" si="23"/>
        <v>Positivo</v>
      </c>
      <c r="AA114" s="1">
        <f>IF(AND(Y114="Negativo",Z114="Negativo"),0,IF(AND(B114="Ativo",OR(Y114="Positivo",Z114="Positivo")),X114*8%,0))</f>
        <v>4920</v>
      </c>
    </row>
    <row r="115" spans="1:27">
      <c r="A115" s="2" t="s">
        <v>24</v>
      </c>
      <c r="B115" s="2" t="str">
        <f t="shared" si="12"/>
        <v>Ativo</v>
      </c>
      <c r="C115" s="2" t="s">
        <v>291</v>
      </c>
      <c r="D115" s="2" t="str">
        <f t="shared" si="13"/>
        <v>Robb Stark</v>
      </c>
      <c r="E115" s="2" t="s">
        <v>292</v>
      </c>
      <c r="F115" s="2" t="str">
        <f t="shared" si="14"/>
        <v>000.000.228-00</v>
      </c>
      <c r="G115" s="2">
        <v>65</v>
      </c>
      <c r="H115" s="2">
        <f ca="1">IF(G115="", DATEDIF(J115, TODAY(), "Y"), G115)</f>
        <v>65</v>
      </c>
      <c r="I115" s="6">
        <v>22505</v>
      </c>
      <c r="J115" s="6">
        <f t="shared" si="15"/>
        <v>22505</v>
      </c>
      <c r="K115" s="2" t="s">
        <v>92</v>
      </c>
      <c r="L115" s="2" t="str" cm="1">
        <f t="array" ref="L115">_xlfn.TEXTSPLIT(K115,"|")</f>
        <v>Ilha dos Ursos</v>
      </c>
      <c r="M115" s="2" t="s">
        <v>81</v>
      </c>
      <c r="N115" s="3">
        <v>29000</v>
      </c>
      <c r="O115" s="3">
        <f t="shared" si="16"/>
        <v>29000</v>
      </c>
      <c r="P115" s="4">
        <v>28500</v>
      </c>
      <c r="Q115" s="5">
        <f t="shared" si="17"/>
        <v>28500</v>
      </c>
      <c r="R115" s="2" t="s">
        <v>46</v>
      </c>
      <c r="S115" s="2" t="str">
        <f t="shared" si="18"/>
        <v>Não</v>
      </c>
      <c r="T115" s="2" t="str">
        <f t="shared" si="19"/>
        <v>Não</v>
      </c>
      <c r="U115" s="2">
        <v>28</v>
      </c>
      <c r="V115" s="2">
        <f t="shared" si="20"/>
        <v>28</v>
      </c>
      <c r="W115" s="2" t="str">
        <f t="shared" si="21"/>
        <v>alto</v>
      </c>
      <c r="X115" s="5">
        <v>57500</v>
      </c>
      <c r="Y115" t="str">
        <f t="shared" si="22"/>
        <v>Positivo</v>
      </c>
      <c r="Z115" t="str">
        <f t="shared" si="23"/>
        <v>Positivo</v>
      </c>
      <c r="AA115" s="1">
        <f>IF(AND(Y115="Negativo",Z115="Negativo"),0,IF(AND(B115="Ativo",OR(Y115="Positivo",Z115="Positivo")),X115*8%,0))</f>
        <v>4600</v>
      </c>
    </row>
    <row r="116" spans="1:27">
      <c r="A116" s="2" t="s">
        <v>24</v>
      </c>
      <c r="B116" s="2" t="str">
        <f t="shared" si="12"/>
        <v>Ativo</v>
      </c>
      <c r="C116" s="2" t="s">
        <v>293</v>
      </c>
      <c r="D116" s="2" t="str">
        <f t="shared" si="13"/>
        <v>Gendry Hightower</v>
      </c>
      <c r="E116" s="2" t="s">
        <v>294</v>
      </c>
      <c r="F116" s="2" t="str">
        <f t="shared" si="14"/>
        <v>000.000.167-00</v>
      </c>
      <c r="G116" s="2">
        <v>26</v>
      </c>
      <c r="H116" s="2">
        <f ca="1">IF(G116="", DATEDIF(J116, TODAY(), "Y"), G116)</f>
        <v>26</v>
      </c>
      <c r="I116" s="2">
        <v>36475</v>
      </c>
      <c r="J116" s="6">
        <f t="shared" si="15"/>
        <v>36475</v>
      </c>
      <c r="K116" s="2" t="s">
        <v>295</v>
      </c>
      <c r="L116" s="2" t="str" cm="1">
        <f t="array" ref="L116:M116">_xlfn.TEXTSPLIT(K116,"|")</f>
        <v xml:space="preserve">Harrenhal </v>
      </c>
      <c r="M116" s="2" t="str">
        <v xml:space="preserve"> Terras Fluviais</v>
      </c>
      <c r="N116" s="3">
        <v>13900</v>
      </c>
      <c r="O116" s="3">
        <f t="shared" si="16"/>
        <v>13900</v>
      </c>
      <c r="P116" s="4">
        <v>53500</v>
      </c>
      <c r="Q116" s="5">
        <f t="shared" si="17"/>
        <v>53500</v>
      </c>
      <c r="R116" s="2" t="s">
        <v>46</v>
      </c>
      <c r="S116" s="2" t="str">
        <f t="shared" si="18"/>
        <v>Não</v>
      </c>
      <c r="T116" s="2" t="str">
        <f t="shared" si="19"/>
        <v>Não</v>
      </c>
      <c r="U116" s="2">
        <v>12</v>
      </c>
      <c r="V116" s="2">
        <f t="shared" si="20"/>
        <v>12</v>
      </c>
      <c r="W116" s="2" t="str">
        <f t="shared" si="21"/>
        <v>médio</v>
      </c>
      <c r="X116" s="5">
        <v>85000</v>
      </c>
      <c r="Y116" t="str">
        <f t="shared" si="22"/>
        <v>Positivo</v>
      </c>
      <c r="Z116" t="str">
        <f t="shared" si="23"/>
        <v>Positivo</v>
      </c>
      <c r="AA116" s="1">
        <f>IF(AND(Y116="Negativo",Z116="Negativo"),0,IF(AND(B116="Ativo",OR(Y116="Positivo",Z116="Positivo")),X116*8%,0))</f>
        <v>6800</v>
      </c>
    </row>
    <row r="117" spans="1:27">
      <c r="A117" s="2" t="s">
        <v>30</v>
      </c>
      <c r="B117" s="2" t="str">
        <f t="shared" si="12"/>
        <v>Inativo</v>
      </c>
      <c r="C117" s="2" t="s">
        <v>296</v>
      </c>
      <c r="D117" s="2" t="str">
        <f t="shared" si="13"/>
        <v>Tormund Glover</v>
      </c>
      <c r="E117" s="2" t="s">
        <v>297</v>
      </c>
      <c r="F117" s="2" t="str">
        <f t="shared" si="14"/>
        <v>000.000.087-00</v>
      </c>
      <c r="G117" s="2">
        <v>63</v>
      </c>
      <c r="H117" s="2">
        <f ca="1">IF(G117="", DATEDIF(J117, TODAY(), "Y"), G117)</f>
        <v>63</v>
      </c>
      <c r="I117" s="2">
        <v>22994</v>
      </c>
      <c r="J117" s="6">
        <f t="shared" si="15"/>
        <v>22994</v>
      </c>
      <c r="K117" s="2" t="s">
        <v>56</v>
      </c>
      <c r="L117" s="2" t="str" cm="1">
        <f t="array" ref="L117">_xlfn.TEXTSPLIT(K117,"|")</f>
        <v>Pyke</v>
      </c>
      <c r="M117" s="2" t="s">
        <v>60</v>
      </c>
      <c r="N117" s="3">
        <v>20000</v>
      </c>
      <c r="O117" s="3">
        <f t="shared" si="16"/>
        <v>20000</v>
      </c>
      <c r="P117" s="4">
        <v>29500</v>
      </c>
      <c r="Q117" s="5">
        <f t="shared" si="17"/>
        <v>29500</v>
      </c>
      <c r="R117" s="2" t="s">
        <v>46</v>
      </c>
      <c r="S117" s="2" t="str">
        <f t="shared" si="18"/>
        <v>Não</v>
      </c>
      <c r="T117" s="2" t="str">
        <f t="shared" si="19"/>
        <v>Não</v>
      </c>
      <c r="U117" s="2">
        <v>42</v>
      </c>
      <c r="V117" s="2">
        <f t="shared" si="20"/>
        <v>42</v>
      </c>
      <c r="W117" s="2" t="str">
        <f t="shared" si="21"/>
        <v>alto</v>
      </c>
      <c r="X117" s="5">
        <v>5000</v>
      </c>
      <c r="Y117" t="str">
        <f t="shared" si="22"/>
        <v>Positivo</v>
      </c>
      <c r="Z117" t="str">
        <f t="shared" si="23"/>
        <v>Positivo</v>
      </c>
      <c r="AA117" s="1">
        <f>IF(AND(Y117="Negativo",Z117="Negativo"),0,IF(AND(B117="Ativo",OR(Y117="Positivo",Z117="Positivo")),X117*8%,0))</f>
        <v>0</v>
      </c>
    </row>
    <row r="118" spans="1:27">
      <c r="A118" s="2" t="s">
        <v>24</v>
      </c>
      <c r="B118" s="2" t="str">
        <f t="shared" si="12"/>
        <v>Ativo</v>
      </c>
      <c r="C118" s="2" t="s">
        <v>298</v>
      </c>
      <c r="D118" s="2" t="str">
        <f t="shared" si="13"/>
        <v>Tyrion Snow</v>
      </c>
      <c r="E118" s="2">
        <v>27900</v>
      </c>
      <c r="F118" s="2" t="str">
        <f t="shared" si="14"/>
        <v>000.000.279-00</v>
      </c>
      <c r="G118" s="2">
        <v>71</v>
      </c>
      <c r="H118" s="2">
        <f ca="1">IF(G118="", DATEDIF(J118, TODAY(), "Y"), G118)</f>
        <v>71</v>
      </c>
      <c r="I118" s="6">
        <v>20094</v>
      </c>
      <c r="J118" s="6">
        <f t="shared" si="15"/>
        <v>20094</v>
      </c>
      <c r="K118" s="2" t="s">
        <v>151</v>
      </c>
      <c r="L118" s="2" t="str" cm="1">
        <f t="array" ref="L118">_xlfn.TEXTSPLIT(K118,"|")</f>
        <v>Monte Chifre</v>
      </c>
      <c r="M118" s="2" t="s">
        <v>87</v>
      </c>
      <c r="N118" s="3">
        <v>24100</v>
      </c>
      <c r="O118" s="3">
        <f t="shared" si="16"/>
        <v>24100</v>
      </c>
      <c r="P118" s="4">
        <v>0</v>
      </c>
      <c r="Q118" s="5">
        <f t="shared" si="17"/>
        <v>0</v>
      </c>
      <c r="R118" s="2" t="s">
        <v>176</v>
      </c>
      <c r="S118" s="2" t="str">
        <f t="shared" si="18"/>
        <v>NÃO</v>
      </c>
      <c r="T118" s="2" t="str">
        <f t="shared" si="19"/>
        <v>Não</v>
      </c>
      <c r="U118" s="2">
        <v>10</v>
      </c>
      <c r="V118" s="2">
        <f t="shared" si="20"/>
        <v>10</v>
      </c>
      <c r="W118" s="2" t="str">
        <f t="shared" si="21"/>
        <v>baixo</v>
      </c>
      <c r="X118" s="5">
        <v>87000</v>
      </c>
      <c r="Y118" t="str">
        <f t="shared" si="22"/>
        <v>Positivo</v>
      </c>
      <c r="Z118" t="str">
        <f t="shared" si="23"/>
        <v>Positivo</v>
      </c>
      <c r="AA118" s="1">
        <f>IF(AND(Y118="Negativo",Z118="Negativo"),0,IF(AND(B118="Ativo",OR(Y118="Positivo",Z118="Positivo")),X118*8%,0))</f>
        <v>6960</v>
      </c>
    </row>
    <row r="119" spans="1:27">
      <c r="A119" s="2" t="s">
        <v>24</v>
      </c>
      <c r="B119" s="2" t="str">
        <f t="shared" si="12"/>
        <v>Ativo</v>
      </c>
      <c r="C119" s="2" t="s">
        <v>299</v>
      </c>
      <c r="D119" s="2" t="str">
        <f t="shared" si="13"/>
        <v>Beric  Umber</v>
      </c>
      <c r="F119" s="2" t="str">
        <f t="shared" si="14"/>
        <v>000.000.000-00</v>
      </c>
      <c r="G119" s="2">
        <v>73</v>
      </c>
      <c r="H119" s="2">
        <f ca="1">IF(G119="", DATEDIF(J119, TODAY(), "Y"), G119)</f>
        <v>73</v>
      </c>
      <c r="I119" s="2">
        <v>19538</v>
      </c>
      <c r="J119" s="6">
        <f t="shared" si="15"/>
        <v>19538</v>
      </c>
      <c r="K119" s="2" t="s">
        <v>36</v>
      </c>
      <c r="L119" s="2" t="str" cm="1">
        <f t="array" ref="L119">_xlfn.TEXTSPLIT(K119,"|")</f>
        <v>Pedra do Dragão</v>
      </c>
      <c r="M119" s="2" t="s">
        <v>253</v>
      </c>
      <c r="N119" s="3">
        <v>12700</v>
      </c>
      <c r="O119" s="3">
        <f t="shared" si="16"/>
        <v>12700</v>
      </c>
      <c r="P119" s="4">
        <v>79500</v>
      </c>
      <c r="Q119" s="5">
        <f t="shared" si="17"/>
        <v>79500</v>
      </c>
      <c r="R119" s="2" t="s">
        <v>46</v>
      </c>
      <c r="S119" s="2" t="str">
        <f t="shared" si="18"/>
        <v>Não</v>
      </c>
      <c r="T119" s="2" t="str">
        <f t="shared" si="19"/>
        <v>Não</v>
      </c>
      <c r="U119" s="2">
        <v>35</v>
      </c>
      <c r="V119" s="2">
        <f t="shared" si="20"/>
        <v>35</v>
      </c>
      <c r="W119" s="2" t="str">
        <f t="shared" si="21"/>
        <v>alto</v>
      </c>
      <c r="X119" s="5">
        <v>39000</v>
      </c>
      <c r="Y119" t="str">
        <f t="shared" si="22"/>
        <v>Positivo</v>
      </c>
      <c r="Z119" t="str">
        <f t="shared" si="23"/>
        <v>Positivo</v>
      </c>
      <c r="AA119" s="1">
        <f>IF(AND(Y119="Negativo",Z119="Negativo"),0,IF(AND(B119="Ativo",OR(Y119="Positivo",Z119="Positivo")),X119*8%,0))</f>
        <v>3120</v>
      </c>
    </row>
    <row r="120" spans="1:27">
      <c r="A120" s="2" t="s">
        <v>24</v>
      </c>
      <c r="B120" s="2" t="str">
        <f t="shared" si="12"/>
        <v>Ativo</v>
      </c>
      <c r="C120" s="2" t="s">
        <v>300</v>
      </c>
      <c r="D120" s="2" t="str">
        <f t="shared" si="13"/>
        <v>Varys Florent</v>
      </c>
      <c r="E120" s="2">
        <v>26400</v>
      </c>
      <c r="F120" s="2" t="str">
        <f t="shared" si="14"/>
        <v>000.000.264-00</v>
      </c>
      <c r="G120" s="2">
        <v>57</v>
      </c>
      <c r="H120" s="2">
        <f ca="1">IF(G120="", DATEDIF(J120, TODAY(), "Y"), G120)</f>
        <v>57</v>
      </c>
      <c r="I120" s="2">
        <v>25238</v>
      </c>
      <c r="J120" s="6">
        <f t="shared" si="15"/>
        <v>25238</v>
      </c>
      <c r="K120" s="2" t="s">
        <v>295</v>
      </c>
      <c r="L120" s="2" t="str" cm="1">
        <f t="array" ref="L120:M120">_xlfn.TEXTSPLIT(K120,"|")</f>
        <v xml:space="preserve">Harrenhal </v>
      </c>
      <c r="M120" s="2" t="str">
        <v xml:space="preserve"> Terras Fluviais</v>
      </c>
      <c r="N120" s="3">
        <v>3200</v>
      </c>
      <c r="O120" s="3">
        <f t="shared" si="16"/>
        <v>3200</v>
      </c>
      <c r="Q120" s="5">
        <f t="shared" si="17"/>
        <v>0</v>
      </c>
      <c r="R120" s="2" t="s">
        <v>46</v>
      </c>
      <c r="S120" s="2" t="str">
        <f t="shared" si="18"/>
        <v>Não</v>
      </c>
      <c r="T120" s="2" t="str">
        <f t="shared" si="19"/>
        <v>Não</v>
      </c>
      <c r="U120" s="2">
        <v>18</v>
      </c>
      <c r="V120" s="2">
        <f t="shared" si="20"/>
        <v>18</v>
      </c>
      <c r="W120" s="2" t="str">
        <f t="shared" si="21"/>
        <v>médio</v>
      </c>
      <c r="X120" s="5">
        <v>64000</v>
      </c>
      <c r="Y120" t="str">
        <f t="shared" si="22"/>
        <v>Positivo</v>
      </c>
      <c r="Z120" t="str">
        <f t="shared" si="23"/>
        <v>Positivo</v>
      </c>
      <c r="AA120" s="1">
        <f>IF(AND(Y120="Negativo",Z120="Negativo"),0,IF(AND(B120="Ativo",OR(Y120="Positivo",Z120="Positivo")),X120*8%,0))</f>
        <v>5120</v>
      </c>
    </row>
    <row r="121" spans="1:27">
      <c r="A121" s="2" t="s">
        <v>24</v>
      </c>
      <c r="B121" s="2" t="str">
        <f t="shared" si="12"/>
        <v>Ativo</v>
      </c>
      <c r="C121" s="2" t="s">
        <v>301</v>
      </c>
      <c r="D121" s="2" t="str">
        <f t="shared" si="13"/>
        <v>Catelyn Umber</v>
      </c>
      <c r="E121" s="2">
        <v>9900</v>
      </c>
      <c r="F121" s="2" t="str">
        <f t="shared" si="14"/>
        <v>000.000.099-00</v>
      </c>
      <c r="G121" s="2">
        <v>64</v>
      </c>
      <c r="H121" s="2">
        <f ca="1">IF(G121="", DATEDIF(J121, TODAY(), "Y"), G121)</f>
        <v>64</v>
      </c>
      <c r="I121" s="6">
        <v>22828</v>
      </c>
      <c r="J121" s="6">
        <f t="shared" si="15"/>
        <v>22828</v>
      </c>
      <c r="K121" s="2" t="s">
        <v>106</v>
      </c>
      <c r="L121" s="2" t="str" cm="1">
        <f t="array" ref="L121">_xlfn.TEXTSPLIT(K121,"|")</f>
        <v>Harrenhal</v>
      </c>
      <c r="M121" s="2" t="s">
        <v>84</v>
      </c>
      <c r="N121" s="3">
        <v>2900</v>
      </c>
      <c r="O121" s="3">
        <f t="shared" si="16"/>
        <v>2900</v>
      </c>
      <c r="P121" s="4">
        <v>76000</v>
      </c>
      <c r="Q121" s="5">
        <f t="shared" si="17"/>
        <v>76000</v>
      </c>
      <c r="R121" s="2" t="s">
        <v>46</v>
      </c>
      <c r="S121" s="2" t="str">
        <f t="shared" si="18"/>
        <v>Não</v>
      </c>
      <c r="T121" s="2" t="str">
        <f t="shared" si="19"/>
        <v>Não</v>
      </c>
      <c r="U121" s="2">
        <v>32</v>
      </c>
      <c r="V121" s="2">
        <f t="shared" si="20"/>
        <v>32</v>
      </c>
      <c r="W121" s="2" t="str">
        <f t="shared" si="21"/>
        <v>alto</v>
      </c>
      <c r="X121" s="5">
        <v>72500</v>
      </c>
      <c r="Y121" t="str">
        <f t="shared" si="22"/>
        <v>Positivo</v>
      </c>
      <c r="Z121" t="str">
        <f t="shared" si="23"/>
        <v>Positivo</v>
      </c>
      <c r="AA121" s="1">
        <f>IF(AND(Y121="Negativo",Z121="Negativo"),0,IF(AND(B121="Ativo",OR(Y121="Positivo",Z121="Positivo")),X121*8%,0))</f>
        <v>5800</v>
      </c>
    </row>
    <row r="122" spans="1:27">
      <c r="A122" s="2" t="s">
        <v>30</v>
      </c>
      <c r="B122" s="2" t="str">
        <f t="shared" si="12"/>
        <v>Inativo</v>
      </c>
      <c r="C122" s="2" t="s">
        <v>302</v>
      </c>
      <c r="D122" s="2" t="str">
        <f t="shared" si="13"/>
        <v>Samwell Glover</v>
      </c>
      <c r="E122" s="2">
        <v>16000</v>
      </c>
      <c r="F122" s="2" t="str">
        <f t="shared" si="14"/>
        <v>000.000.160-00</v>
      </c>
      <c r="G122" s="2">
        <v>73</v>
      </c>
      <c r="H122" s="2">
        <f ca="1">IF(G122="", DATEDIF(J122, TODAY(), "Y"), G122)</f>
        <v>73</v>
      </c>
      <c r="I122" s="6">
        <v>19299</v>
      </c>
      <c r="J122" s="6">
        <f t="shared" si="15"/>
        <v>19299</v>
      </c>
      <c r="K122" s="2" t="s">
        <v>32</v>
      </c>
      <c r="L122" s="2" t="str" cm="1">
        <f t="array" ref="L122">_xlfn.TEXTSPLIT(K122,"|")</f>
        <v>Ponta Tempestade</v>
      </c>
      <c r="M122" s="2" t="s">
        <v>74</v>
      </c>
      <c r="N122" s="3">
        <v>7100</v>
      </c>
      <c r="O122" s="3">
        <f t="shared" si="16"/>
        <v>7100</v>
      </c>
      <c r="P122" s="4">
        <v>58000</v>
      </c>
      <c r="Q122" s="5">
        <f t="shared" si="17"/>
        <v>58000</v>
      </c>
      <c r="R122" s="2" t="s">
        <v>29</v>
      </c>
      <c r="S122" s="2" t="str">
        <f t="shared" si="18"/>
        <v>Sim</v>
      </c>
      <c r="T122" s="2" t="str">
        <f t="shared" si="19"/>
        <v>Sim</v>
      </c>
      <c r="U122" s="2">
        <v>22</v>
      </c>
      <c r="V122" s="2">
        <f t="shared" si="20"/>
        <v>22</v>
      </c>
      <c r="W122" s="2" t="str">
        <f t="shared" si="21"/>
        <v>médio</v>
      </c>
      <c r="X122" s="5">
        <v>46500</v>
      </c>
      <c r="Y122" t="str">
        <f t="shared" si="22"/>
        <v>Positivo</v>
      </c>
      <c r="Z122" t="str">
        <f t="shared" si="23"/>
        <v>Negativo</v>
      </c>
      <c r="AA122" s="1">
        <f>IF(AND(Y122="Negativo",Z122="Negativo"),0,IF(AND(B122="Ativo",OR(Y122="Positivo",Z122="Positivo")),X122*8%,0))</f>
        <v>0</v>
      </c>
    </row>
    <row r="123" spans="1:27">
      <c r="A123" s="2" t="s">
        <v>24</v>
      </c>
      <c r="B123" s="2" t="str">
        <f t="shared" si="12"/>
        <v>Ativo</v>
      </c>
      <c r="C123" s="2" t="s">
        <v>303</v>
      </c>
      <c r="D123" s="2" t="str">
        <f t="shared" si="13"/>
        <v>Thoros Clegane</v>
      </c>
      <c r="E123" s="2" t="s">
        <v>304</v>
      </c>
      <c r="F123" s="2" t="str">
        <f t="shared" si="14"/>
        <v>000.000.141-00</v>
      </c>
      <c r="G123" s="2">
        <v>28</v>
      </c>
      <c r="H123" s="2">
        <f ca="1">IF(G123="", DATEDIF(J123, TODAY(), "Y"), G123)</f>
        <v>28</v>
      </c>
      <c r="I123" s="6">
        <v>35993</v>
      </c>
      <c r="J123" s="6">
        <f t="shared" si="15"/>
        <v>35993</v>
      </c>
      <c r="K123" s="2" t="s">
        <v>49</v>
      </c>
      <c r="L123" s="2" t="str" cm="1">
        <f t="array" ref="L123">_xlfn.TEXTSPLIT(K123,"|")</f>
        <v>Lannisporto</v>
      </c>
      <c r="M123" s="2" t="s">
        <v>53</v>
      </c>
      <c r="N123" s="3">
        <v>13400</v>
      </c>
      <c r="O123" s="3">
        <f t="shared" si="16"/>
        <v>13400</v>
      </c>
      <c r="P123" s="4">
        <v>54000</v>
      </c>
      <c r="Q123" s="5">
        <f t="shared" si="17"/>
        <v>54000</v>
      </c>
      <c r="R123" s="2" t="s">
        <v>46</v>
      </c>
      <c r="S123" s="2" t="str">
        <f t="shared" si="18"/>
        <v>Não</v>
      </c>
      <c r="T123" s="2" t="str">
        <f t="shared" si="19"/>
        <v>Não</v>
      </c>
      <c r="U123" s="2">
        <v>15</v>
      </c>
      <c r="V123" s="2">
        <f t="shared" si="20"/>
        <v>15</v>
      </c>
      <c r="W123" s="2" t="str">
        <f t="shared" si="21"/>
        <v>médio</v>
      </c>
      <c r="X123" s="5">
        <v>99000</v>
      </c>
      <c r="Y123" t="str">
        <f t="shared" si="22"/>
        <v>Positivo</v>
      </c>
      <c r="Z123" t="str">
        <f t="shared" si="23"/>
        <v>Positivo</v>
      </c>
      <c r="AA123" s="1">
        <f>IF(AND(Y123="Negativo",Z123="Negativo"),0,IF(AND(B123="Ativo",OR(Y123="Positivo",Z123="Positivo")),X123*8%,0))</f>
        <v>7920</v>
      </c>
    </row>
    <row r="124" spans="1:27">
      <c r="A124" s="2" t="s">
        <v>24</v>
      </c>
      <c r="B124" s="2" t="str">
        <f t="shared" si="12"/>
        <v>Ativo</v>
      </c>
      <c r="C124" s="2" t="s">
        <v>305</v>
      </c>
      <c r="D124" s="2" t="str">
        <f t="shared" si="13"/>
        <v>Theon Baratheon</v>
      </c>
      <c r="E124" s="2" t="s">
        <v>306</v>
      </c>
      <c r="F124" s="2" t="str">
        <f t="shared" si="14"/>
        <v>000.000.375-00</v>
      </c>
      <c r="G124" s="2">
        <v>26</v>
      </c>
      <c r="H124" s="2">
        <f ca="1">IF(G124="", DATEDIF(J124, TODAY(), "Y"), G124)</f>
        <v>26</v>
      </c>
      <c r="I124" s="2">
        <v>36622</v>
      </c>
      <c r="J124" s="6">
        <f t="shared" si="15"/>
        <v>36622</v>
      </c>
      <c r="K124" s="2" t="s">
        <v>121</v>
      </c>
      <c r="L124" s="2" t="str" cm="1">
        <f t="array" ref="L124">_xlfn.TEXTSPLIT(K124,"|")</f>
        <v>Dorne</v>
      </c>
      <c r="M124" s="2" t="s">
        <v>121</v>
      </c>
      <c r="N124" s="3">
        <v>22900</v>
      </c>
      <c r="O124" s="3">
        <f t="shared" si="16"/>
        <v>22900</v>
      </c>
      <c r="P124" s="4">
        <v>65500</v>
      </c>
      <c r="Q124" s="5">
        <f t="shared" si="17"/>
        <v>65500</v>
      </c>
      <c r="R124" s="2" t="s">
        <v>307</v>
      </c>
      <c r="S124" s="2" t="str">
        <f t="shared" si="18"/>
        <v>SIM</v>
      </c>
      <c r="T124" s="2" t="str">
        <f t="shared" si="19"/>
        <v>Sim</v>
      </c>
      <c r="U124" s="2">
        <v>40</v>
      </c>
      <c r="V124" s="2">
        <f t="shared" si="20"/>
        <v>40</v>
      </c>
      <c r="W124" s="2" t="str">
        <f t="shared" si="21"/>
        <v>alto</v>
      </c>
      <c r="X124" s="5">
        <v>95500</v>
      </c>
      <c r="Y124" t="str">
        <f t="shared" si="22"/>
        <v>Negativo</v>
      </c>
      <c r="Z124" t="str">
        <f t="shared" si="23"/>
        <v>Negativo</v>
      </c>
      <c r="AA124" s="1">
        <f>IF(AND(Y124="Negativo",Z124="Negativo"),0,IF(AND(B124="Ativo",OR(Y124="Positivo",Z124="Positivo")),X124*8%,0))</f>
        <v>0</v>
      </c>
    </row>
    <row r="125" spans="1:27">
      <c r="A125" s="2" t="s">
        <v>24</v>
      </c>
      <c r="B125" s="2" t="str">
        <f t="shared" si="12"/>
        <v>Ativo</v>
      </c>
      <c r="C125" s="2" t="s">
        <v>308</v>
      </c>
      <c r="D125" s="2" t="str">
        <f t="shared" si="13"/>
        <v>Melisandre  Baelish</v>
      </c>
      <c r="E125" s="2" t="s">
        <v>309</v>
      </c>
      <c r="F125" s="2" t="str">
        <f t="shared" si="14"/>
        <v>000.000.152-00</v>
      </c>
      <c r="G125" s="2">
        <v>69</v>
      </c>
      <c r="H125" s="2">
        <f ca="1">IF(G125="", DATEDIF(J125, TODAY(), "Y"), G125)</f>
        <v>69</v>
      </c>
      <c r="I125" s="6">
        <v>21051</v>
      </c>
      <c r="J125" s="6">
        <f t="shared" si="15"/>
        <v>21051</v>
      </c>
      <c r="K125" s="2" t="s">
        <v>32</v>
      </c>
      <c r="L125" s="2" t="str" cm="1">
        <f t="array" ref="L125">_xlfn.TEXTSPLIT(K125,"|")</f>
        <v>Ponta Tempestade</v>
      </c>
      <c r="M125" s="2" t="s">
        <v>33</v>
      </c>
      <c r="N125" s="3">
        <v>25100</v>
      </c>
      <c r="O125" s="3">
        <f t="shared" si="16"/>
        <v>25100</v>
      </c>
      <c r="P125" s="4">
        <v>40500</v>
      </c>
      <c r="Q125" s="5">
        <f t="shared" si="17"/>
        <v>40500</v>
      </c>
      <c r="R125" s="2" t="s">
        <v>46</v>
      </c>
      <c r="S125" s="2" t="str">
        <f t="shared" si="18"/>
        <v>Não</v>
      </c>
      <c r="T125" s="2" t="str">
        <f t="shared" si="19"/>
        <v>Não</v>
      </c>
      <c r="U125" s="2">
        <v>43</v>
      </c>
      <c r="V125" s="2">
        <f t="shared" si="20"/>
        <v>43</v>
      </c>
      <c r="W125" s="2" t="str">
        <f t="shared" si="21"/>
        <v>alto</v>
      </c>
      <c r="X125" s="5">
        <v>24500</v>
      </c>
      <c r="Y125" t="str">
        <f t="shared" si="22"/>
        <v>Positivo</v>
      </c>
      <c r="Z125" t="str">
        <f t="shared" si="23"/>
        <v>Positivo</v>
      </c>
      <c r="AA125" s="1">
        <f>IF(AND(Y125="Negativo",Z125="Negativo"),0,IF(AND(B125="Ativo",OR(Y125="Positivo",Z125="Positivo")),X125*8%,0))</f>
        <v>1960</v>
      </c>
    </row>
    <row r="126" spans="1:27">
      <c r="A126" s="2" t="s">
        <v>24</v>
      </c>
      <c r="B126" s="2" t="str">
        <f t="shared" si="12"/>
        <v>Ativo</v>
      </c>
      <c r="C126" s="2" t="s">
        <v>310</v>
      </c>
      <c r="D126" s="2" t="str">
        <f t="shared" si="13"/>
        <v>Robert Yronwood</v>
      </c>
      <c r="E126" s="2" t="s">
        <v>311</v>
      </c>
      <c r="F126" s="2" t="str">
        <f t="shared" si="14"/>
        <v>000.000.075-00</v>
      </c>
      <c r="G126" s="2">
        <v>67</v>
      </c>
      <c r="H126" s="2">
        <f ca="1">IF(G126="", DATEDIF(J126, TODAY(), "Y"), G126)</f>
        <v>67</v>
      </c>
      <c r="I126" s="6">
        <v>21624</v>
      </c>
      <c r="J126" s="6">
        <f t="shared" si="15"/>
        <v>21624</v>
      </c>
      <c r="K126" s="2" t="s">
        <v>107</v>
      </c>
      <c r="L126" s="2" t="str" cm="1">
        <f t="array" ref="L126">_xlfn.TEXTSPLIT(K126,"|")</f>
        <v>Winterfell</v>
      </c>
      <c r="M126" s="2" t="s">
        <v>93</v>
      </c>
      <c r="N126" s="3">
        <v>8500</v>
      </c>
      <c r="O126" s="3">
        <f t="shared" si="16"/>
        <v>8500</v>
      </c>
      <c r="P126" s="4">
        <v>39500</v>
      </c>
      <c r="Q126" s="5">
        <f t="shared" si="17"/>
        <v>39500</v>
      </c>
      <c r="R126" s="2" t="s">
        <v>29</v>
      </c>
      <c r="S126" s="2" t="str">
        <f t="shared" si="18"/>
        <v>Sim</v>
      </c>
      <c r="T126" s="2" t="str">
        <f t="shared" si="19"/>
        <v>Sim</v>
      </c>
      <c r="V126" s="2">
        <f t="shared" si="20"/>
        <v>0</v>
      </c>
      <c r="W126" s="2" t="str">
        <f t="shared" si="21"/>
        <v>baixo</v>
      </c>
      <c r="X126" s="5">
        <v>42000</v>
      </c>
      <c r="Y126" t="str">
        <f t="shared" si="22"/>
        <v>Positivo</v>
      </c>
      <c r="Z126" t="str">
        <f t="shared" si="23"/>
        <v>Positivo</v>
      </c>
      <c r="AA126" s="1">
        <f>IF(AND(Y126="Negativo",Z126="Negativo"),0,IF(AND(B126="Ativo",OR(Y126="Positivo",Z126="Positivo")),X126*8%,0))</f>
        <v>3360</v>
      </c>
    </row>
    <row r="127" spans="1:27">
      <c r="A127" s="2" t="s">
        <v>24</v>
      </c>
      <c r="B127" s="2" t="str">
        <f t="shared" si="12"/>
        <v>Ativo</v>
      </c>
      <c r="C127" s="2" t="s">
        <v>312</v>
      </c>
      <c r="D127" s="2" t="str">
        <f t="shared" si="13"/>
        <v>Meera Reed</v>
      </c>
      <c r="E127" s="2" t="s">
        <v>313</v>
      </c>
      <c r="F127" s="2" t="str">
        <f t="shared" si="14"/>
        <v>000.000.314-00</v>
      </c>
      <c r="G127" s="2">
        <v>53</v>
      </c>
      <c r="H127" s="2">
        <f ca="1">IF(G127="", DATEDIF(J127, TODAY(), "Y"), G127)</f>
        <v>53</v>
      </c>
      <c r="I127" s="6">
        <v>26584</v>
      </c>
      <c r="J127" s="6">
        <f t="shared" si="15"/>
        <v>26584</v>
      </c>
      <c r="K127" s="2" t="s">
        <v>100</v>
      </c>
      <c r="L127" s="2" t="str" cm="1">
        <f t="array" ref="L127">_xlfn.TEXTSPLIT(K127,"|")</f>
        <v>Fosso Cailin</v>
      </c>
      <c r="M127" s="2" t="s">
        <v>81</v>
      </c>
      <c r="N127" s="3">
        <v>12200</v>
      </c>
      <c r="O127" s="3">
        <f t="shared" si="16"/>
        <v>12200</v>
      </c>
      <c r="P127" s="4">
        <v>79500</v>
      </c>
      <c r="Q127" s="5">
        <f t="shared" si="17"/>
        <v>79500</v>
      </c>
      <c r="R127" s="2" t="s">
        <v>128</v>
      </c>
      <c r="S127" s="2" t="str">
        <f t="shared" si="18"/>
        <v>Nao</v>
      </c>
      <c r="T127" s="2" t="str">
        <f t="shared" si="19"/>
        <v>Não</v>
      </c>
      <c r="U127" s="2">
        <v>45</v>
      </c>
      <c r="V127" s="2">
        <f t="shared" si="20"/>
        <v>45</v>
      </c>
      <c r="W127" s="2" t="str">
        <f t="shared" si="21"/>
        <v>alto</v>
      </c>
      <c r="X127" s="5">
        <v>57000</v>
      </c>
      <c r="Y127" t="str">
        <f t="shared" si="22"/>
        <v>Positivo</v>
      </c>
      <c r="Z127" t="str">
        <f t="shared" si="23"/>
        <v>Positivo</v>
      </c>
      <c r="AA127" s="1">
        <f>IF(AND(Y127="Negativo",Z127="Negativo"),0,IF(AND(B127="Ativo",OR(Y127="Positivo",Z127="Positivo")),X127*8%,0))</f>
        <v>4560</v>
      </c>
    </row>
    <row r="128" spans="1:27">
      <c r="A128" s="2" t="s">
        <v>24</v>
      </c>
      <c r="B128" s="2" t="str">
        <f t="shared" si="12"/>
        <v>Ativo</v>
      </c>
      <c r="C128" s="2" t="s">
        <v>314</v>
      </c>
      <c r="D128" s="2" t="str">
        <f t="shared" si="13"/>
        <v>Tormund Royce</v>
      </c>
      <c r="E128" s="2" t="s">
        <v>315</v>
      </c>
      <c r="F128" s="2" t="str">
        <f t="shared" si="14"/>
        <v>000.000.297-00</v>
      </c>
      <c r="G128" s="2">
        <v>55</v>
      </c>
      <c r="H128" s="2">
        <f ca="1">IF(G128="", DATEDIF(J128, TODAY(), "Y"), G128)</f>
        <v>55</v>
      </c>
      <c r="I128" s="2">
        <v>25880</v>
      </c>
      <c r="J128" s="6">
        <f t="shared" si="15"/>
        <v>25880</v>
      </c>
      <c r="K128" s="2" t="s">
        <v>32</v>
      </c>
      <c r="L128" s="2" t="str" cm="1">
        <f t="array" ref="L128">_xlfn.TEXTSPLIT(K128,"|")</f>
        <v>Ponta Tempestade</v>
      </c>
      <c r="M128" s="2" t="s">
        <v>33</v>
      </c>
      <c r="N128" s="3">
        <v>27500</v>
      </c>
      <c r="O128" s="3">
        <f t="shared" si="16"/>
        <v>27500</v>
      </c>
      <c r="P128" s="4">
        <v>14000</v>
      </c>
      <c r="Q128" s="5">
        <f t="shared" si="17"/>
        <v>14000</v>
      </c>
      <c r="R128" s="2" t="s">
        <v>46</v>
      </c>
      <c r="S128" s="2" t="str">
        <f t="shared" si="18"/>
        <v>Não</v>
      </c>
      <c r="T128" s="2" t="str">
        <f t="shared" si="19"/>
        <v>Não</v>
      </c>
      <c r="U128" s="2">
        <v>3</v>
      </c>
      <c r="V128" s="2">
        <f t="shared" si="20"/>
        <v>3</v>
      </c>
      <c r="W128" s="2" t="str">
        <f t="shared" si="21"/>
        <v>baixo</v>
      </c>
      <c r="X128" s="5">
        <v>11500</v>
      </c>
      <c r="Y128" t="str">
        <f t="shared" si="22"/>
        <v>Positivo</v>
      </c>
      <c r="Z128" t="str">
        <f t="shared" si="23"/>
        <v>Positivo</v>
      </c>
      <c r="AA128" s="1">
        <f>IF(AND(Y128="Negativo",Z128="Negativo"),0,IF(AND(B128="Ativo",OR(Y128="Positivo",Z128="Positivo")),X128*8%,0))</f>
        <v>920</v>
      </c>
    </row>
    <row r="129" spans="1:27">
      <c r="A129" s="2" t="s">
        <v>24</v>
      </c>
      <c r="B129" s="2" t="str">
        <f t="shared" si="12"/>
        <v>Ativo</v>
      </c>
      <c r="C129" s="2" t="s">
        <v>258</v>
      </c>
      <c r="D129" s="2" t="str">
        <f t="shared" si="13"/>
        <v>Rickon Karstark</v>
      </c>
      <c r="E129" s="2">
        <v>8900</v>
      </c>
      <c r="F129" s="2" t="str">
        <f t="shared" si="14"/>
        <v>000.000.089-00</v>
      </c>
      <c r="H129" s="2">
        <f ca="1">IF(G129="", DATEDIF(J129, TODAY(), "Y"), G129)</f>
        <v>35</v>
      </c>
      <c r="I129" s="6">
        <v>33473</v>
      </c>
      <c r="J129" s="6">
        <f t="shared" si="15"/>
        <v>33473</v>
      </c>
      <c r="K129" s="2" t="s">
        <v>174</v>
      </c>
      <c r="L129" s="2" t="str" cm="1">
        <f t="array" ref="L129">_xlfn.TEXTSPLIT(K129,"|")</f>
        <v>Atalaia da Água Cinzenta</v>
      </c>
      <c r="M129" s="2" t="s">
        <v>175</v>
      </c>
      <c r="N129" s="3">
        <v>24000</v>
      </c>
      <c r="O129" s="3">
        <f t="shared" si="16"/>
        <v>24000</v>
      </c>
      <c r="P129" s="4">
        <v>0</v>
      </c>
      <c r="Q129" s="5">
        <f t="shared" si="17"/>
        <v>0</v>
      </c>
      <c r="R129" s="2" t="s">
        <v>29</v>
      </c>
      <c r="S129" s="2" t="str">
        <f t="shared" si="18"/>
        <v>Sim</v>
      </c>
      <c r="T129" s="2" t="str">
        <f t="shared" si="19"/>
        <v>Sim</v>
      </c>
      <c r="U129" s="2">
        <v>3</v>
      </c>
      <c r="V129" s="2">
        <f t="shared" si="20"/>
        <v>3</v>
      </c>
      <c r="W129" s="2" t="str">
        <f t="shared" si="21"/>
        <v>baixo</v>
      </c>
      <c r="X129" s="5">
        <v>60000</v>
      </c>
      <c r="Y129" t="str">
        <f t="shared" si="22"/>
        <v>Positivo</v>
      </c>
      <c r="Z129" t="str">
        <f t="shared" si="23"/>
        <v>Positivo</v>
      </c>
      <c r="AA129" s="1">
        <f>IF(AND(Y129="Negativo",Z129="Negativo"),0,IF(AND(B129="Ativo",OR(Y129="Positivo",Z129="Positivo")),X129*8%,0))</f>
        <v>4800</v>
      </c>
    </row>
    <row r="130" spans="1:27">
      <c r="A130" s="2" t="s">
        <v>30</v>
      </c>
      <c r="B130" s="2" t="str">
        <f t="shared" si="12"/>
        <v>Inativo</v>
      </c>
      <c r="C130" s="2" t="s">
        <v>205</v>
      </c>
      <c r="D130" s="2" t="str">
        <f t="shared" si="13"/>
        <v>Podrick Blackwood</v>
      </c>
      <c r="E130" s="2">
        <v>8300</v>
      </c>
      <c r="F130" s="2" t="str">
        <f t="shared" si="14"/>
        <v>000.000.083-00</v>
      </c>
      <c r="G130" s="2">
        <v>31</v>
      </c>
      <c r="H130" s="2">
        <f ca="1">IF(G130="", DATEDIF(J130, TODAY(), "Y"), G130)</f>
        <v>31</v>
      </c>
      <c r="I130" s="2">
        <v>34828</v>
      </c>
      <c r="J130" s="6">
        <f t="shared" si="15"/>
        <v>34828</v>
      </c>
      <c r="K130" s="2" t="s">
        <v>158</v>
      </c>
      <c r="L130" s="2" t="str" cm="1">
        <f t="array" ref="L130">_xlfn.TEXTSPLIT(K130,"|")</f>
        <v>Porto Real</v>
      </c>
      <c r="M130" s="2" t="s">
        <v>37</v>
      </c>
      <c r="N130" s="3">
        <v>24900</v>
      </c>
      <c r="O130" s="3">
        <f t="shared" si="16"/>
        <v>24900</v>
      </c>
      <c r="P130" s="4">
        <v>72000</v>
      </c>
      <c r="Q130" s="5">
        <f t="shared" si="17"/>
        <v>72000</v>
      </c>
      <c r="R130" s="2" t="s">
        <v>46</v>
      </c>
      <c r="S130" s="2" t="str">
        <f t="shared" si="18"/>
        <v>Não</v>
      </c>
      <c r="T130" s="2" t="str">
        <f t="shared" si="19"/>
        <v>Não</v>
      </c>
      <c r="U130" s="2">
        <v>35</v>
      </c>
      <c r="V130" s="2">
        <f t="shared" si="20"/>
        <v>35</v>
      </c>
      <c r="W130" s="2" t="str">
        <f t="shared" si="21"/>
        <v>alto</v>
      </c>
      <c r="X130" s="5">
        <v>79000</v>
      </c>
      <c r="Y130" t="str">
        <f t="shared" si="22"/>
        <v>Positivo</v>
      </c>
      <c r="Z130" t="str">
        <f t="shared" si="23"/>
        <v>Positivo</v>
      </c>
      <c r="AA130" s="1">
        <f>IF(AND(Y130="Negativo",Z130="Negativo"),0,IF(AND(B130="Ativo",OR(Y130="Positivo",Z130="Positivo")),X130*8%,0))</f>
        <v>0</v>
      </c>
    </row>
    <row r="131" spans="1:27">
      <c r="A131" s="2" t="s">
        <v>24</v>
      </c>
      <c r="B131" s="2" t="str">
        <f t="shared" ref="B131:B194" si="24">IF(LEFT(A131,5)="Ativo", "Ativo", "Inativo")</f>
        <v>Ativo</v>
      </c>
      <c r="C131" s="2" t="s">
        <v>316</v>
      </c>
      <c r="D131" s="2" t="str">
        <f t="shared" ref="D131:D194" si="25">PROPER(C131)</f>
        <v>Tyrion Karstark</v>
      </c>
      <c r="E131" s="2">
        <v>3800</v>
      </c>
      <c r="F131" s="2" t="str">
        <f t="shared" ref="F131:F194" si="26">TEXT(_xlfn.NUMBERVALUE(SUBSTITUTE(SUBSTITUTE(E131,".",""),"-","")), "000\.000\.000\-00")</f>
        <v>000.000.038-00</v>
      </c>
      <c r="G131" s="2">
        <v>41</v>
      </c>
      <c r="H131" s="2">
        <f ca="1">IF(G131="", DATEDIF(J131, TODAY(), "Y"), G131)</f>
        <v>41</v>
      </c>
      <c r="I131" s="6">
        <v>30992</v>
      </c>
      <c r="J131" s="6">
        <f t="shared" ref="J131:J194" si="27">I131</f>
        <v>30992</v>
      </c>
      <c r="K131" s="2" t="s">
        <v>49</v>
      </c>
      <c r="L131" s="2" t="str" cm="1">
        <f t="array" ref="L131">_xlfn.TEXTSPLIT(K131,"|")</f>
        <v>Lannisporto</v>
      </c>
      <c r="M131" s="2" t="s">
        <v>317</v>
      </c>
      <c r="N131" s="3">
        <v>28600</v>
      </c>
      <c r="O131" s="3">
        <f t="shared" ref="O131:O194" si="28">IF(OR(N131="", N131="sem renda"), "", N131)</f>
        <v>28600</v>
      </c>
      <c r="P131" s="4">
        <v>67500</v>
      </c>
      <c r="Q131" s="5">
        <f t="shared" ref="Q131:Q194" si="29">P131</f>
        <v>67500</v>
      </c>
      <c r="R131" s="2" t="s">
        <v>46</v>
      </c>
      <c r="S131" s="2" t="str">
        <f t="shared" ref="S131:S194" si="30">IF(R131="", "", IF(R131=0, "não", IF(R131=1, "sim", R131)))</f>
        <v>Não</v>
      </c>
      <c r="T131" s="2" t="str">
        <f t="shared" ref="T131:T194" si="31">IF(LEFT(UPPER(S131),1)="S", "Sim", "Não")</f>
        <v>Não</v>
      </c>
      <c r="U131" s="2">
        <v>39</v>
      </c>
      <c r="V131" s="2">
        <f t="shared" ref="V131:V194" si="32">IF(U131="", 0, U131)</f>
        <v>39</v>
      </c>
      <c r="W131" s="2" t="str">
        <f t="shared" ref="W131:W194" si="33">IF(U131&lt;=10, "baixo", IF(U131&lt;=25, "médio", "alto"))</f>
        <v>alto</v>
      </c>
      <c r="X131" s="5">
        <v>22000</v>
      </c>
      <c r="Y131" t="str">
        <f t="shared" ref="Y131:Y194" si="34">IF(AND(W131="alto", S131="Sim"), "Negativo", "Positivo")</f>
        <v>Positivo</v>
      </c>
      <c r="Z131" t="str">
        <f t="shared" ref="Z131:Z194" si="35">IF(OR(Q131="N/A", AND(Q131&gt;50000, S131="Sim")), "Negativo", "Positivo")</f>
        <v>Positivo</v>
      </c>
      <c r="AA131" s="1">
        <f>IF(AND(Y131="Negativo",Z131="Negativo"),0,IF(AND(B131="Ativo",OR(Y131="Positivo",Z131="Positivo")),X131*8%,0))</f>
        <v>1760</v>
      </c>
    </row>
    <row r="132" spans="1:27">
      <c r="A132" s="2" t="s">
        <v>24</v>
      </c>
      <c r="B132" s="2" t="str">
        <f t="shared" si="24"/>
        <v>Ativo</v>
      </c>
      <c r="C132" s="2" t="s">
        <v>318</v>
      </c>
      <c r="D132" s="2" t="str">
        <f t="shared" si="25"/>
        <v>Missandei Florent</v>
      </c>
      <c r="E132" s="2" t="s">
        <v>319</v>
      </c>
      <c r="F132" s="2" t="str">
        <f t="shared" si="26"/>
        <v>000.000.282-00</v>
      </c>
      <c r="G132" s="2">
        <v>56</v>
      </c>
      <c r="H132" s="2">
        <f ca="1">IF(G132="", DATEDIF(J132, TODAY(), "Y"), G132)</f>
        <v>56</v>
      </c>
      <c r="I132" s="2">
        <v>25671</v>
      </c>
      <c r="J132" s="6">
        <f t="shared" si="27"/>
        <v>25671</v>
      </c>
      <c r="K132" s="2" t="s">
        <v>106</v>
      </c>
      <c r="L132" s="2" t="str" cm="1">
        <f t="array" ref="L132">_xlfn.TEXTSPLIT(K132,"|")</f>
        <v>Harrenhal</v>
      </c>
      <c r="M132" s="2" t="s">
        <v>78</v>
      </c>
      <c r="N132" s="3">
        <v>28300</v>
      </c>
      <c r="O132" s="3">
        <f t="shared" si="28"/>
        <v>28300</v>
      </c>
      <c r="P132" s="4">
        <v>56000</v>
      </c>
      <c r="Q132" s="5">
        <f t="shared" si="29"/>
        <v>56000</v>
      </c>
      <c r="R132" s="2" t="s">
        <v>46</v>
      </c>
      <c r="S132" s="2" t="str">
        <f t="shared" si="30"/>
        <v>Não</v>
      </c>
      <c r="T132" s="2" t="str">
        <f t="shared" si="31"/>
        <v>Não</v>
      </c>
      <c r="U132" s="2">
        <v>6</v>
      </c>
      <c r="V132" s="2">
        <f t="shared" si="32"/>
        <v>6</v>
      </c>
      <c r="W132" s="2" t="str">
        <f t="shared" si="33"/>
        <v>baixo</v>
      </c>
      <c r="X132" s="5">
        <v>77000</v>
      </c>
      <c r="Y132" t="str">
        <f t="shared" si="34"/>
        <v>Positivo</v>
      </c>
      <c r="Z132" t="str">
        <f t="shared" si="35"/>
        <v>Positivo</v>
      </c>
      <c r="AA132" s="1">
        <f>IF(AND(Y132="Negativo",Z132="Negativo"),0,IF(AND(B132="Ativo",OR(Y132="Positivo",Z132="Positivo")),X132*8%,0))</f>
        <v>6160</v>
      </c>
    </row>
    <row r="133" spans="1:27">
      <c r="A133" s="2" t="s">
        <v>24</v>
      </c>
      <c r="B133" s="2" t="str">
        <f t="shared" si="24"/>
        <v>Ativo</v>
      </c>
      <c r="C133" s="2" t="s">
        <v>320</v>
      </c>
      <c r="D133" s="2" t="str">
        <f t="shared" si="25"/>
        <v>Varys  Stark</v>
      </c>
      <c r="E133" s="2">
        <v>37700</v>
      </c>
      <c r="F133" s="2" t="str">
        <f t="shared" si="26"/>
        <v>000.000.377-00</v>
      </c>
      <c r="G133" s="2">
        <v>23</v>
      </c>
      <c r="H133" s="2">
        <f ca="1">IF(G133="", DATEDIF(J133, TODAY(), "Y"), G133)</f>
        <v>23</v>
      </c>
      <c r="I133" s="6">
        <v>37566</v>
      </c>
      <c r="J133" s="6">
        <f t="shared" si="27"/>
        <v>37566</v>
      </c>
      <c r="K133" s="2" t="s">
        <v>68</v>
      </c>
      <c r="L133" s="2" t="str" cm="1">
        <f t="array" ref="L133">_xlfn.TEXTSPLIT(K133,"|")</f>
        <v>Braavos</v>
      </c>
      <c r="M133" s="2" t="s">
        <v>187</v>
      </c>
      <c r="N133" s="3">
        <v>2600</v>
      </c>
      <c r="O133" s="3">
        <f t="shared" si="28"/>
        <v>2600</v>
      </c>
      <c r="P133" s="4">
        <v>0</v>
      </c>
      <c r="Q133" s="5">
        <f t="shared" si="29"/>
        <v>0</v>
      </c>
      <c r="R133" s="2" t="s">
        <v>29</v>
      </c>
      <c r="S133" s="2" t="str">
        <f t="shared" si="30"/>
        <v>Sim</v>
      </c>
      <c r="T133" s="2" t="str">
        <f t="shared" si="31"/>
        <v>Sim</v>
      </c>
      <c r="U133" s="2">
        <v>30</v>
      </c>
      <c r="V133" s="2">
        <f t="shared" si="32"/>
        <v>30</v>
      </c>
      <c r="W133" s="2" t="str">
        <f t="shared" si="33"/>
        <v>alto</v>
      </c>
      <c r="X133" s="5">
        <v>11000</v>
      </c>
      <c r="Y133" t="str">
        <f t="shared" si="34"/>
        <v>Negativo</v>
      </c>
      <c r="Z133" t="str">
        <f t="shared" si="35"/>
        <v>Positivo</v>
      </c>
      <c r="AA133" s="1">
        <f>IF(AND(Y133="Negativo",Z133="Negativo"),0,IF(AND(B133="Ativo",OR(Y133="Positivo",Z133="Positivo")),X133*8%,0))</f>
        <v>880</v>
      </c>
    </row>
    <row r="134" spans="1:27">
      <c r="A134" s="2" t="s">
        <v>24</v>
      </c>
      <c r="B134" s="2" t="str">
        <f t="shared" si="24"/>
        <v>Ativo</v>
      </c>
      <c r="C134" s="2" t="s">
        <v>321</v>
      </c>
      <c r="D134" s="2" t="str">
        <f t="shared" si="25"/>
        <v>Jeor Karstark</v>
      </c>
      <c r="E134" s="2" t="s">
        <v>322</v>
      </c>
      <c r="F134" s="2" t="str">
        <f t="shared" si="26"/>
        <v>000.000.310-00</v>
      </c>
      <c r="G134" s="2">
        <v>25</v>
      </c>
      <c r="H134" s="2">
        <f ca="1">IF(G134="", DATEDIF(J134, TODAY(), "Y"), G134)</f>
        <v>25</v>
      </c>
      <c r="I134" s="2">
        <v>37137</v>
      </c>
      <c r="J134" s="6">
        <f t="shared" si="27"/>
        <v>37137</v>
      </c>
      <c r="K134" s="2" t="s">
        <v>27</v>
      </c>
      <c r="L134" s="2" t="str" cm="1">
        <f t="array" ref="L134">_xlfn.TEXTSPLIT(K134,"|")</f>
        <v>Ninho da Águia</v>
      </c>
      <c r="M134" s="2" t="s">
        <v>28</v>
      </c>
      <c r="O134" s="3" t="str">
        <f t="shared" si="28"/>
        <v/>
      </c>
      <c r="P134" s="4">
        <v>21000</v>
      </c>
      <c r="Q134" s="5">
        <f t="shared" si="29"/>
        <v>21000</v>
      </c>
      <c r="R134" s="2" t="s">
        <v>46</v>
      </c>
      <c r="S134" s="2" t="str">
        <f t="shared" si="30"/>
        <v>Não</v>
      </c>
      <c r="T134" s="2" t="str">
        <f t="shared" si="31"/>
        <v>Não</v>
      </c>
      <c r="U134" s="2">
        <v>34</v>
      </c>
      <c r="V134" s="2">
        <f t="shared" si="32"/>
        <v>34</v>
      </c>
      <c r="W134" s="2" t="str">
        <f t="shared" si="33"/>
        <v>alto</v>
      </c>
      <c r="X134" s="5">
        <v>7500</v>
      </c>
      <c r="Y134" t="str">
        <f t="shared" si="34"/>
        <v>Positivo</v>
      </c>
      <c r="Z134" t="str">
        <f t="shared" si="35"/>
        <v>Positivo</v>
      </c>
      <c r="AA134" s="1">
        <f>IF(AND(Y134="Negativo",Z134="Negativo"),0,IF(AND(B134="Ativo",OR(Y134="Positivo",Z134="Positivo")),X134*8%,0))</f>
        <v>600</v>
      </c>
    </row>
    <row r="135" spans="1:27">
      <c r="A135" s="2" t="s">
        <v>24</v>
      </c>
      <c r="B135" s="2" t="str">
        <f t="shared" si="24"/>
        <v>Ativo</v>
      </c>
      <c r="C135" s="2" t="s">
        <v>323</v>
      </c>
      <c r="D135" s="2" t="str">
        <f t="shared" si="25"/>
        <v>Renly Mormont</v>
      </c>
      <c r="E135" s="2" t="s">
        <v>324</v>
      </c>
      <c r="F135" s="2" t="str">
        <f t="shared" si="26"/>
        <v>000.000.376-00</v>
      </c>
      <c r="G135" s="2">
        <v>57</v>
      </c>
      <c r="H135" s="2">
        <f ca="1">IF(G135="", DATEDIF(J135, TODAY(), "Y"), G135)</f>
        <v>57</v>
      </c>
      <c r="I135" s="2">
        <v>25199</v>
      </c>
      <c r="J135" s="6">
        <f t="shared" si="27"/>
        <v>25199</v>
      </c>
      <c r="K135" s="2" t="s">
        <v>86</v>
      </c>
      <c r="L135" s="2" t="str" cm="1">
        <f t="array" ref="L135">_xlfn.TEXTSPLIT(K135,"|")</f>
        <v>Vilavelha</v>
      </c>
      <c r="M135" s="2" t="s">
        <v>147</v>
      </c>
      <c r="N135" s="3">
        <v>20700</v>
      </c>
      <c r="O135" s="3">
        <f t="shared" si="28"/>
        <v>20700</v>
      </c>
      <c r="P135" s="4">
        <v>64500</v>
      </c>
      <c r="Q135" s="5">
        <f t="shared" si="29"/>
        <v>64500</v>
      </c>
      <c r="R135" s="2" t="s">
        <v>46</v>
      </c>
      <c r="S135" s="2" t="str">
        <f t="shared" si="30"/>
        <v>Não</v>
      </c>
      <c r="T135" s="2" t="str">
        <f t="shared" si="31"/>
        <v>Não</v>
      </c>
      <c r="U135" s="2">
        <v>19</v>
      </c>
      <c r="V135" s="2">
        <f t="shared" si="32"/>
        <v>19</v>
      </c>
      <c r="W135" s="2" t="str">
        <f t="shared" si="33"/>
        <v>médio</v>
      </c>
      <c r="X135" s="5">
        <v>54500</v>
      </c>
      <c r="Y135" t="str">
        <f t="shared" si="34"/>
        <v>Positivo</v>
      </c>
      <c r="Z135" t="str">
        <f t="shared" si="35"/>
        <v>Positivo</v>
      </c>
      <c r="AA135" s="1">
        <f>IF(AND(Y135="Negativo",Z135="Negativo"),0,IF(AND(B135="Ativo",OR(Y135="Positivo",Z135="Positivo")),X135*8%,0))</f>
        <v>4360</v>
      </c>
    </row>
    <row r="136" spans="1:27">
      <c r="A136" s="2" t="s">
        <v>188</v>
      </c>
      <c r="B136" s="2" t="str">
        <f t="shared" si="24"/>
        <v>Ativo</v>
      </c>
      <c r="C136" s="2" t="s">
        <v>325</v>
      </c>
      <c r="D136" s="2" t="str">
        <f t="shared" si="25"/>
        <v>Eddard Royce</v>
      </c>
      <c r="E136" s="2" t="s">
        <v>326</v>
      </c>
      <c r="F136" s="2" t="str">
        <f t="shared" si="26"/>
        <v>000.000.181-00</v>
      </c>
      <c r="G136" s="2">
        <v>73</v>
      </c>
      <c r="H136" s="2">
        <f ca="1">IF(G136="", DATEDIF(J136, TODAY(), "Y"), G136)</f>
        <v>73</v>
      </c>
      <c r="I136" s="6">
        <v>19314</v>
      </c>
      <c r="J136" s="6">
        <f t="shared" si="27"/>
        <v>19314</v>
      </c>
      <c r="K136" s="2" t="s">
        <v>36</v>
      </c>
      <c r="L136" s="2" t="str" cm="1">
        <f t="array" ref="L136">_xlfn.TEXTSPLIT(K136,"|")</f>
        <v>Pedra do Dragão</v>
      </c>
      <c r="M136" s="2" t="s">
        <v>327</v>
      </c>
      <c r="N136" s="3">
        <v>6100</v>
      </c>
      <c r="O136" s="3">
        <f t="shared" si="28"/>
        <v>6100</v>
      </c>
      <c r="P136" s="4">
        <v>16000</v>
      </c>
      <c r="Q136" s="5">
        <f t="shared" si="29"/>
        <v>16000</v>
      </c>
      <c r="R136" s="2" t="s">
        <v>46</v>
      </c>
      <c r="S136" s="2" t="str">
        <f t="shared" si="30"/>
        <v>Não</v>
      </c>
      <c r="T136" s="2" t="str">
        <f t="shared" si="31"/>
        <v>Não</v>
      </c>
      <c r="U136" s="2">
        <v>9</v>
      </c>
      <c r="V136" s="2">
        <f t="shared" si="32"/>
        <v>9</v>
      </c>
      <c r="W136" s="2" t="str">
        <f t="shared" si="33"/>
        <v>baixo</v>
      </c>
      <c r="X136" s="5">
        <v>24500</v>
      </c>
      <c r="Y136" t="str">
        <f t="shared" si="34"/>
        <v>Positivo</v>
      </c>
      <c r="Z136" t="str">
        <f t="shared" si="35"/>
        <v>Positivo</v>
      </c>
      <c r="AA136" s="1">
        <f>IF(AND(Y136="Negativo",Z136="Negativo"),0,IF(AND(B136="Ativo",OR(Y136="Positivo",Z136="Positivo")),X136*8%,0))</f>
        <v>1960</v>
      </c>
    </row>
    <row r="137" spans="1:27">
      <c r="A137" s="2" t="s">
        <v>24</v>
      </c>
      <c r="B137" s="2" t="str">
        <f t="shared" si="24"/>
        <v>Ativo</v>
      </c>
      <c r="C137" s="2" t="s">
        <v>328</v>
      </c>
      <c r="D137" s="2" t="str">
        <f t="shared" si="25"/>
        <v>Rhaegar Lannister</v>
      </c>
      <c r="E137" s="2">
        <v>37000</v>
      </c>
      <c r="F137" s="2" t="str">
        <f t="shared" si="26"/>
        <v>000.000.370-00</v>
      </c>
      <c r="G137" s="2">
        <v>24</v>
      </c>
      <c r="H137" s="2">
        <f ca="1">IF(G137="", DATEDIF(J137, TODAY(), "Y"), G137)</f>
        <v>24</v>
      </c>
      <c r="I137" s="6">
        <v>37290</v>
      </c>
      <c r="J137" s="6">
        <f t="shared" si="27"/>
        <v>37290</v>
      </c>
      <c r="K137" s="2" t="s">
        <v>110</v>
      </c>
      <c r="L137" s="2" t="str" cm="1">
        <f t="array" ref="L137">_xlfn.TEXTSPLIT(K137,"|")</f>
        <v>Jardim de Cima</v>
      </c>
      <c r="M137" s="2" t="s">
        <v>152</v>
      </c>
      <c r="N137" s="3">
        <v>6400</v>
      </c>
      <c r="O137" s="3">
        <f t="shared" si="28"/>
        <v>6400</v>
      </c>
      <c r="P137" s="4">
        <v>41000</v>
      </c>
      <c r="Q137" s="5">
        <f t="shared" si="29"/>
        <v>41000</v>
      </c>
      <c r="R137" s="2" t="s">
        <v>46</v>
      </c>
      <c r="S137" s="2" t="str">
        <f t="shared" si="30"/>
        <v>Não</v>
      </c>
      <c r="T137" s="2" t="str">
        <f t="shared" si="31"/>
        <v>Não</v>
      </c>
      <c r="U137" s="2">
        <v>22</v>
      </c>
      <c r="V137" s="2">
        <f t="shared" si="32"/>
        <v>22</v>
      </c>
      <c r="W137" s="2" t="str">
        <f t="shared" si="33"/>
        <v>médio</v>
      </c>
      <c r="X137" s="5">
        <v>74500</v>
      </c>
      <c r="Y137" t="str">
        <f t="shared" si="34"/>
        <v>Positivo</v>
      </c>
      <c r="Z137" t="str">
        <f t="shared" si="35"/>
        <v>Positivo</v>
      </c>
      <c r="AA137" s="1">
        <f>IF(AND(Y137="Negativo",Z137="Negativo"),0,IF(AND(B137="Ativo",OR(Y137="Positivo",Z137="Positivo")),X137*8%,0))</f>
        <v>5960</v>
      </c>
    </row>
    <row r="138" spans="1:27">
      <c r="A138" s="2" t="s">
        <v>50</v>
      </c>
      <c r="B138" s="2" t="str">
        <f t="shared" si="24"/>
        <v>Ativo</v>
      </c>
      <c r="C138" s="2" t="s">
        <v>329</v>
      </c>
      <c r="D138" s="2" t="str">
        <f t="shared" si="25"/>
        <v>Varys Blackwood</v>
      </c>
      <c r="E138" s="2" t="s">
        <v>330</v>
      </c>
      <c r="F138" s="2" t="str">
        <f t="shared" si="26"/>
        <v>000.000.373-00</v>
      </c>
      <c r="G138" s="2">
        <v>47</v>
      </c>
      <c r="H138" s="2">
        <f ca="1">IF(G138="", DATEDIF(J138, TODAY(), "Y"), G138)</f>
        <v>47</v>
      </c>
      <c r="J138" s="6">
        <f t="shared" si="27"/>
        <v>0</v>
      </c>
      <c r="K138" s="2" t="s">
        <v>68</v>
      </c>
      <c r="L138" s="2" t="str" cm="1">
        <f t="array" ref="L138">_xlfn.TEXTSPLIT(K138,"|")</f>
        <v>Braavos</v>
      </c>
      <c r="N138" s="3">
        <v>11600</v>
      </c>
      <c r="O138" s="3">
        <f t="shared" si="28"/>
        <v>11600</v>
      </c>
      <c r="P138" s="4">
        <v>63500</v>
      </c>
      <c r="Q138" s="5">
        <f t="shared" si="29"/>
        <v>63500</v>
      </c>
      <c r="R138" s="2">
        <v>0</v>
      </c>
      <c r="S138" s="2" t="str">
        <f t="shared" si="30"/>
        <v>não</v>
      </c>
      <c r="T138" s="2" t="str">
        <f t="shared" si="31"/>
        <v>Não</v>
      </c>
      <c r="U138" s="2">
        <v>18</v>
      </c>
      <c r="V138" s="2">
        <f t="shared" si="32"/>
        <v>18</v>
      </c>
      <c r="W138" s="2" t="str">
        <f t="shared" si="33"/>
        <v>médio</v>
      </c>
      <c r="X138" s="5">
        <v>3000</v>
      </c>
      <c r="Y138" t="str">
        <f t="shared" si="34"/>
        <v>Positivo</v>
      </c>
      <c r="Z138" t="str">
        <f t="shared" si="35"/>
        <v>Positivo</v>
      </c>
      <c r="AA138" s="1">
        <f>IF(AND(Y138="Negativo",Z138="Negativo"),0,IF(AND(B138="Ativo",OR(Y138="Positivo",Z138="Positivo")),X138*8%,0))</f>
        <v>240</v>
      </c>
    </row>
    <row r="139" spans="1:27">
      <c r="A139" s="2" t="s">
        <v>30</v>
      </c>
      <c r="B139" s="2" t="str">
        <f t="shared" si="24"/>
        <v>Inativo</v>
      </c>
      <c r="C139" s="2" t="s">
        <v>331</v>
      </c>
      <c r="D139" s="2" t="str">
        <f t="shared" si="25"/>
        <v>Eddard Westerling</v>
      </c>
      <c r="E139" s="2" t="s">
        <v>332</v>
      </c>
      <c r="F139" s="2" t="str">
        <f t="shared" si="26"/>
        <v>000.000.094-00</v>
      </c>
      <c r="G139" s="2">
        <v>52</v>
      </c>
      <c r="H139" s="2">
        <f ca="1">IF(G139="", DATEDIF(J139, TODAY(), "Y"), G139)</f>
        <v>52</v>
      </c>
      <c r="I139" s="2">
        <v>27186</v>
      </c>
      <c r="J139" s="6">
        <f t="shared" si="27"/>
        <v>27186</v>
      </c>
      <c r="K139" s="2" t="s">
        <v>32</v>
      </c>
      <c r="L139" s="2" t="str" cm="1">
        <f t="array" ref="L139">_xlfn.TEXTSPLIT(K139,"|")</f>
        <v>Ponta Tempestade</v>
      </c>
      <c r="M139" s="2" t="s">
        <v>125</v>
      </c>
      <c r="N139" s="3">
        <v>6400</v>
      </c>
      <c r="O139" s="3">
        <f t="shared" si="28"/>
        <v>6400</v>
      </c>
      <c r="P139" s="4">
        <v>37000</v>
      </c>
      <c r="Q139" s="5">
        <f t="shared" si="29"/>
        <v>37000</v>
      </c>
      <c r="R139" s="2" t="s">
        <v>46</v>
      </c>
      <c r="S139" s="2" t="str">
        <f t="shared" si="30"/>
        <v>Não</v>
      </c>
      <c r="T139" s="2" t="str">
        <f t="shared" si="31"/>
        <v>Não</v>
      </c>
      <c r="U139" s="2">
        <v>1</v>
      </c>
      <c r="V139" s="2">
        <f t="shared" si="32"/>
        <v>1</v>
      </c>
      <c r="W139" s="2" t="str">
        <f t="shared" si="33"/>
        <v>baixo</v>
      </c>
      <c r="X139" s="5">
        <v>87000</v>
      </c>
      <c r="Y139" t="str">
        <f t="shared" si="34"/>
        <v>Positivo</v>
      </c>
      <c r="Z139" t="str">
        <f t="shared" si="35"/>
        <v>Positivo</v>
      </c>
      <c r="AA139" s="1">
        <f>IF(AND(Y139="Negativo",Z139="Negativo"),0,IF(AND(B139="Ativo",OR(Y139="Positivo",Z139="Positivo")),X139*8%,0))</f>
        <v>0</v>
      </c>
    </row>
    <row r="140" spans="1:27">
      <c r="A140" s="2" t="s">
        <v>30</v>
      </c>
      <c r="B140" s="2" t="str">
        <f t="shared" si="24"/>
        <v>Inativo</v>
      </c>
      <c r="C140" s="2" t="s">
        <v>333</v>
      </c>
      <c r="D140" s="2" t="str">
        <f t="shared" si="25"/>
        <v>Varys  Blackwood</v>
      </c>
      <c r="E140" s="2">
        <v>26700</v>
      </c>
      <c r="F140" s="2" t="str">
        <f t="shared" si="26"/>
        <v>000.000.267-00</v>
      </c>
      <c r="G140" s="2">
        <v>54</v>
      </c>
      <c r="H140" s="2">
        <f ca="1">IF(G140="", DATEDIF(J140, TODAY(), "Y"), G140)</f>
        <v>54</v>
      </c>
      <c r="I140" s="2">
        <v>26453</v>
      </c>
      <c r="J140" s="6">
        <f t="shared" si="27"/>
        <v>26453</v>
      </c>
      <c r="K140" s="2" t="s">
        <v>174</v>
      </c>
      <c r="L140" s="2" t="str" cm="1">
        <f t="array" ref="L140">_xlfn.TEXTSPLIT(K140,"|")</f>
        <v>Atalaia da Água Cinzenta</v>
      </c>
      <c r="M140" s="2" t="s">
        <v>175</v>
      </c>
      <c r="N140" s="3">
        <v>3900</v>
      </c>
      <c r="O140" s="3">
        <f t="shared" si="28"/>
        <v>3900</v>
      </c>
      <c r="P140" s="4">
        <v>80000</v>
      </c>
      <c r="Q140" s="5">
        <f t="shared" si="29"/>
        <v>80000</v>
      </c>
      <c r="R140" s="2" t="s">
        <v>46</v>
      </c>
      <c r="S140" s="2" t="str">
        <f t="shared" si="30"/>
        <v>Não</v>
      </c>
      <c r="T140" s="2" t="str">
        <f t="shared" si="31"/>
        <v>Não</v>
      </c>
      <c r="U140" s="2">
        <v>41</v>
      </c>
      <c r="V140" s="2">
        <f t="shared" si="32"/>
        <v>41</v>
      </c>
      <c r="W140" s="2" t="str">
        <f t="shared" si="33"/>
        <v>alto</v>
      </c>
      <c r="X140" s="5">
        <v>30000</v>
      </c>
      <c r="Y140" t="str">
        <f t="shared" si="34"/>
        <v>Positivo</v>
      </c>
      <c r="Z140" t="str">
        <f t="shared" si="35"/>
        <v>Positivo</v>
      </c>
      <c r="AA140" s="1">
        <f>IF(AND(Y140="Negativo",Z140="Negativo"),0,IF(AND(B140="Ativo",OR(Y140="Positivo",Z140="Positivo")),X140*8%,0))</f>
        <v>0</v>
      </c>
    </row>
    <row r="141" spans="1:27">
      <c r="A141" s="2" t="s">
        <v>24</v>
      </c>
      <c r="B141" s="2" t="str">
        <f t="shared" si="24"/>
        <v>Ativo</v>
      </c>
      <c r="C141" s="2" t="s">
        <v>334</v>
      </c>
      <c r="D141" s="2" t="str">
        <f t="shared" si="25"/>
        <v>Olenna Bracken</v>
      </c>
      <c r="E141" s="2" t="s">
        <v>335</v>
      </c>
      <c r="F141" s="2" t="str">
        <f t="shared" si="26"/>
        <v>000.000.225-00</v>
      </c>
      <c r="G141" s="2">
        <v>45</v>
      </c>
      <c r="H141" s="2">
        <f ca="1">IF(G141="", DATEDIF(J141, TODAY(), "Y"), G141)</f>
        <v>45</v>
      </c>
      <c r="I141" s="6">
        <v>29598</v>
      </c>
      <c r="J141" s="6">
        <f t="shared" si="27"/>
        <v>29598</v>
      </c>
      <c r="K141" s="2" t="s">
        <v>49</v>
      </c>
      <c r="L141" s="2" t="str" cm="1">
        <f t="array" ref="L141">_xlfn.TEXTSPLIT(K141,"|")</f>
        <v>Lannisporto</v>
      </c>
      <c r="M141" s="2" t="s">
        <v>131</v>
      </c>
      <c r="N141" s="3">
        <v>22800</v>
      </c>
      <c r="O141" s="3">
        <f t="shared" si="28"/>
        <v>22800</v>
      </c>
      <c r="Q141" s="5">
        <f t="shared" si="29"/>
        <v>0</v>
      </c>
      <c r="R141" s="2" t="s">
        <v>46</v>
      </c>
      <c r="S141" s="2" t="str">
        <f t="shared" si="30"/>
        <v>Não</v>
      </c>
      <c r="T141" s="2" t="str">
        <f t="shared" si="31"/>
        <v>Não</v>
      </c>
      <c r="U141" s="2">
        <v>10</v>
      </c>
      <c r="V141" s="2">
        <f t="shared" si="32"/>
        <v>10</v>
      </c>
      <c r="W141" s="2" t="str">
        <f t="shared" si="33"/>
        <v>baixo</v>
      </c>
      <c r="X141" s="5">
        <v>31000</v>
      </c>
      <c r="Y141" t="str">
        <f t="shared" si="34"/>
        <v>Positivo</v>
      </c>
      <c r="Z141" t="str">
        <f t="shared" si="35"/>
        <v>Positivo</v>
      </c>
      <c r="AA141" s="1">
        <f>IF(AND(Y141="Negativo",Z141="Negativo"),0,IF(AND(B141="Ativo",OR(Y141="Positivo",Z141="Positivo")),X141*8%,0))</f>
        <v>2480</v>
      </c>
    </row>
    <row r="142" spans="1:27">
      <c r="A142" s="2" t="s">
        <v>24</v>
      </c>
      <c r="B142" s="2" t="str">
        <f t="shared" si="24"/>
        <v>Ativo</v>
      </c>
      <c r="C142" s="2" t="s">
        <v>336</v>
      </c>
      <c r="D142" s="2" t="str">
        <f t="shared" si="25"/>
        <v>Aegon Marbrand</v>
      </c>
      <c r="E142" s="2">
        <v>35200</v>
      </c>
      <c r="F142" s="2" t="str">
        <f t="shared" si="26"/>
        <v>000.000.352-00</v>
      </c>
      <c r="G142" s="2">
        <v>65</v>
      </c>
      <c r="H142" s="2">
        <f ca="1">IF(G142="", DATEDIF(J142, TODAY(), "Y"), G142)</f>
        <v>65</v>
      </c>
      <c r="I142" s="2">
        <v>22337</v>
      </c>
      <c r="J142" s="6">
        <f t="shared" si="27"/>
        <v>22337</v>
      </c>
      <c r="K142" s="2" t="s">
        <v>80</v>
      </c>
      <c r="L142" s="2" t="str" cm="1">
        <f t="array" ref="L142">_xlfn.TEXTSPLIT(K142,"|")</f>
        <v>Castelo Negro</v>
      </c>
      <c r="M142" s="2" t="s">
        <v>81</v>
      </c>
      <c r="N142" s="3">
        <v>3800</v>
      </c>
      <c r="O142" s="3">
        <f t="shared" si="28"/>
        <v>3800</v>
      </c>
      <c r="P142" s="4">
        <v>49500</v>
      </c>
      <c r="Q142" s="5">
        <f t="shared" si="29"/>
        <v>49500</v>
      </c>
      <c r="R142" s="2" t="s">
        <v>46</v>
      </c>
      <c r="S142" s="2" t="str">
        <f t="shared" si="30"/>
        <v>Não</v>
      </c>
      <c r="T142" s="2" t="str">
        <f t="shared" si="31"/>
        <v>Não</v>
      </c>
      <c r="U142" s="2">
        <v>16</v>
      </c>
      <c r="V142" s="2">
        <f t="shared" si="32"/>
        <v>16</v>
      </c>
      <c r="W142" s="2" t="str">
        <f t="shared" si="33"/>
        <v>médio</v>
      </c>
      <c r="X142" s="5">
        <v>15500</v>
      </c>
      <c r="Y142" t="str">
        <f t="shared" si="34"/>
        <v>Positivo</v>
      </c>
      <c r="Z142" t="str">
        <f t="shared" si="35"/>
        <v>Positivo</v>
      </c>
      <c r="AA142" s="1">
        <f>IF(AND(Y142="Negativo",Z142="Negativo"),0,IF(AND(B142="Ativo",OR(Y142="Positivo",Z142="Positivo")),X142*8%,0))</f>
        <v>1240</v>
      </c>
    </row>
    <row r="143" spans="1:27">
      <c r="A143" s="2" t="s">
        <v>24</v>
      </c>
      <c r="B143" s="2" t="str">
        <f t="shared" si="24"/>
        <v>Ativo</v>
      </c>
      <c r="C143" s="2" t="s">
        <v>337</v>
      </c>
      <c r="D143" s="2" t="str">
        <f t="shared" si="25"/>
        <v>Beric Tyrell</v>
      </c>
      <c r="E143" s="2" t="s">
        <v>338</v>
      </c>
      <c r="F143" s="2" t="str">
        <f t="shared" si="26"/>
        <v>000.000.242-00</v>
      </c>
      <c r="G143" s="2">
        <v>66</v>
      </c>
      <c r="H143" s="2">
        <f ca="1">IF(G143="", DATEDIF(J143, TODAY(), "Y"), G143)</f>
        <v>66</v>
      </c>
      <c r="I143" s="2">
        <v>22151</v>
      </c>
      <c r="J143" s="6">
        <f t="shared" si="27"/>
        <v>22151</v>
      </c>
      <c r="K143" s="2" t="s">
        <v>86</v>
      </c>
      <c r="L143" s="2" t="str" cm="1">
        <f t="array" ref="L143">_xlfn.TEXTSPLIT(K143,"|")</f>
        <v>Vilavelha</v>
      </c>
      <c r="M143" s="2" t="s">
        <v>87</v>
      </c>
      <c r="N143" s="3">
        <v>11800</v>
      </c>
      <c r="O143" s="3">
        <f t="shared" si="28"/>
        <v>11800</v>
      </c>
      <c r="P143" s="4">
        <v>2000</v>
      </c>
      <c r="Q143" s="5">
        <f t="shared" si="29"/>
        <v>2000</v>
      </c>
      <c r="R143" s="2" t="s">
        <v>29</v>
      </c>
      <c r="S143" s="2" t="str">
        <f t="shared" si="30"/>
        <v>Sim</v>
      </c>
      <c r="T143" s="2" t="str">
        <f t="shared" si="31"/>
        <v>Sim</v>
      </c>
      <c r="U143" s="2">
        <v>23</v>
      </c>
      <c r="V143" s="2">
        <f t="shared" si="32"/>
        <v>23</v>
      </c>
      <c r="W143" s="2" t="str">
        <f t="shared" si="33"/>
        <v>médio</v>
      </c>
      <c r="X143" s="5">
        <v>72500</v>
      </c>
      <c r="Y143" t="str">
        <f t="shared" si="34"/>
        <v>Positivo</v>
      </c>
      <c r="Z143" t="str">
        <f t="shared" si="35"/>
        <v>Positivo</v>
      </c>
      <c r="AA143" s="1">
        <f>IF(AND(Y143="Negativo",Z143="Negativo"),0,IF(AND(B143="Ativo",OR(Y143="Positivo",Z143="Positivo")),X143*8%,0))</f>
        <v>5800</v>
      </c>
    </row>
    <row r="144" spans="1:27">
      <c r="A144" s="2" t="s">
        <v>30</v>
      </c>
      <c r="B144" s="2" t="str">
        <f t="shared" si="24"/>
        <v>Inativo</v>
      </c>
      <c r="C144" s="2" t="s">
        <v>339</v>
      </c>
      <c r="D144" s="2" t="str">
        <f t="shared" si="25"/>
        <v>Asha Manderly</v>
      </c>
      <c r="E144" s="2" t="s">
        <v>340</v>
      </c>
      <c r="F144" s="2" t="str">
        <f t="shared" si="26"/>
        <v>000.000.357-00</v>
      </c>
      <c r="G144" s="2">
        <v>29</v>
      </c>
      <c r="H144" s="2">
        <f ca="1">IF(G144="", DATEDIF(J144, TODAY(), "Y"), G144)</f>
        <v>29</v>
      </c>
      <c r="I144" s="2">
        <v>35607</v>
      </c>
      <c r="J144" s="6">
        <f t="shared" si="27"/>
        <v>35607</v>
      </c>
      <c r="K144" s="2" t="s">
        <v>92</v>
      </c>
      <c r="L144" s="2" t="str" cm="1">
        <f t="array" ref="L144">_xlfn.TEXTSPLIT(K144,"|")</f>
        <v>Ilha dos Ursos</v>
      </c>
      <c r="M144" s="2" t="s">
        <v>81</v>
      </c>
      <c r="N144" s="3">
        <v>13800</v>
      </c>
      <c r="O144" s="3">
        <f t="shared" si="28"/>
        <v>13800</v>
      </c>
      <c r="P144" s="4">
        <v>41500</v>
      </c>
      <c r="Q144" s="5">
        <f t="shared" si="29"/>
        <v>41500</v>
      </c>
      <c r="R144" s="2" t="s">
        <v>46</v>
      </c>
      <c r="S144" s="2" t="str">
        <f t="shared" si="30"/>
        <v>Não</v>
      </c>
      <c r="T144" s="2" t="str">
        <f t="shared" si="31"/>
        <v>Não</v>
      </c>
      <c r="U144" s="2">
        <v>34</v>
      </c>
      <c r="V144" s="2">
        <f t="shared" si="32"/>
        <v>34</v>
      </c>
      <c r="W144" s="2" t="str">
        <f t="shared" si="33"/>
        <v>alto</v>
      </c>
      <c r="X144" s="5">
        <v>66000</v>
      </c>
      <c r="Y144" t="str">
        <f t="shared" si="34"/>
        <v>Positivo</v>
      </c>
      <c r="Z144" t="str">
        <f t="shared" si="35"/>
        <v>Positivo</v>
      </c>
      <c r="AA144" s="1">
        <f>IF(AND(Y144="Negativo",Z144="Negativo"),0,IF(AND(B144="Ativo",OR(Y144="Positivo",Z144="Positivo")),X144*8%,0))</f>
        <v>0</v>
      </c>
    </row>
    <row r="145" spans="1:27">
      <c r="A145" s="2" t="s">
        <v>24</v>
      </c>
      <c r="B145" s="2" t="str">
        <f t="shared" si="24"/>
        <v>Ativo</v>
      </c>
      <c r="C145" s="2" t="s">
        <v>341</v>
      </c>
      <c r="D145" s="2" t="str">
        <f t="shared" si="25"/>
        <v>Ellaria Mormont</v>
      </c>
      <c r="E145" s="2" t="s">
        <v>342</v>
      </c>
      <c r="F145" s="2" t="str">
        <f t="shared" si="26"/>
        <v>000.000.157-00</v>
      </c>
      <c r="G145" s="2">
        <v>22</v>
      </c>
      <c r="H145" s="2">
        <f ca="1">IF(G145="", DATEDIF(J145, TODAY(), "Y"), G145)</f>
        <v>22</v>
      </c>
      <c r="I145" s="6">
        <v>37904</v>
      </c>
      <c r="J145" s="6">
        <f t="shared" si="27"/>
        <v>37904</v>
      </c>
      <c r="K145" s="2" t="s">
        <v>32</v>
      </c>
      <c r="L145" s="2" t="str" cm="1">
        <f t="array" ref="L145">_xlfn.TEXTSPLIT(K145,"|")</f>
        <v>Ponta Tempestade</v>
      </c>
      <c r="M145" s="2" t="s">
        <v>33</v>
      </c>
      <c r="N145" s="3">
        <v>2300</v>
      </c>
      <c r="O145" s="3">
        <f t="shared" si="28"/>
        <v>2300</v>
      </c>
      <c r="P145" s="4">
        <v>0</v>
      </c>
      <c r="Q145" s="5">
        <f t="shared" si="29"/>
        <v>0</v>
      </c>
      <c r="R145" s="2" t="s">
        <v>29</v>
      </c>
      <c r="S145" s="2" t="str">
        <f t="shared" si="30"/>
        <v>Sim</v>
      </c>
      <c r="T145" s="2" t="str">
        <f t="shared" si="31"/>
        <v>Sim</v>
      </c>
      <c r="U145" s="2">
        <v>29</v>
      </c>
      <c r="V145" s="2">
        <f t="shared" si="32"/>
        <v>29</v>
      </c>
      <c r="W145" s="2" t="str">
        <f t="shared" si="33"/>
        <v>alto</v>
      </c>
      <c r="X145" s="5">
        <v>51500</v>
      </c>
      <c r="Y145" t="str">
        <f t="shared" si="34"/>
        <v>Negativo</v>
      </c>
      <c r="Z145" t="str">
        <f t="shared" si="35"/>
        <v>Positivo</v>
      </c>
      <c r="AA145" s="1">
        <f>IF(AND(Y145="Negativo",Z145="Negativo"),0,IF(AND(B145="Ativo",OR(Y145="Positivo",Z145="Positivo")),X145*8%,0))</f>
        <v>4120</v>
      </c>
    </row>
    <row r="146" spans="1:27">
      <c r="A146" s="2" t="s">
        <v>30</v>
      </c>
      <c r="B146" s="2" t="str">
        <f t="shared" si="24"/>
        <v>Inativo</v>
      </c>
      <c r="C146" s="2" t="s">
        <v>343</v>
      </c>
      <c r="D146" s="2" t="str">
        <f t="shared" si="25"/>
        <v>Grey Worm Baratheon</v>
      </c>
      <c r="E146" s="2" t="s">
        <v>344</v>
      </c>
      <c r="F146" s="2" t="str">
        <f t="shared" si="26"/>
        <v>000.000.221-00</v>
      </c>
      <c r="G146" s="2">
        <v>29</v>
      </c>
      <c r="H146" s="2">
        <f ca="1">IF(G146="", DATEDIF(J146, TODAY(), "Y"), G146)</f>
        <v>29</v>
      </c>
      <c r="I146" s="2">
        <v>35598</v>
      </c>
      <c r="J146" s="6">
        <f t="shared" si="27"/>
        <v>35598</v>
      </c>
      <c r="K146" s="2" t="s">
        <v>121</v>
      </c>
      <c r="L146" s="2" t="str" cm="1">
        <f t="array" ref="L146">_xlfn.TEXTSPLIT(K146,"|")</f>
        <v>Dorne</v>
      </c>
      <c r="M146" s="2" t="s">
        <v>121</v>
      </c>
      <c r="N146" s="3">
        <v>15500</v>
      </c>
      <c r="O146" s="3">
        <f t="shared" si="28"/>
        <v>15500</v>
      </c>
      <c r="P146" s="4">
        <v>75000</v>
      </c>
      <c r="Q146" s="5">
        <f t="shared" si="29"/>
        <v>75000</v>
      </c>
      <c r="R146" s="2" t="s">
        <v>176</v>
      </c>
      <c r="S146" s="2" t="str">
        <f t="shared" si="30"/>
        <v>NÃO</v>
      </c>
      <c r="T146" s="2" t="str">
        <f t="shared" si="31"/>
        <v>Não</v>
      </c>
      <c r="U146" s="2">
        <v>25</v>
      </c>
      <c r="V146" s="2">
        <f t="shared" si="32"/>
        <v>25</v>
      </c>
      <c r="W146" s="2" t="str">
        <f t="shared" si="33"/>
        <v>médio</v>
      </c>
      <c r="X146" s="5">
        <v>47000</v>
      </c>
      <c r="Y146" t="str">
        <f t="shared" si="34"/>
        <v>Positivo</v>
      </c>
      <c r="Z146" t="str">
        <f t="shared" si="35"/>
        <v>Positivo</v>
      </c>
      <c r="AA146" s="1">
        <f>IF(AND(Y146="Negativo",Z146="Negativo"),0,IF(AND(B146="Ativo",OR(Y146="Positivo",Z146="Positivo")),X146*8%,0))</f>
        <v>0</v>
      </c>
    </row>
    <row r="147" spans="1:27">
      <c r="A147" s="2" t="s">
        <v>24</v>
      </c>
      <c r="B147" s="2" t="str">
        <f t="shared" si="24"/>
        <v>Ativo</v>
      </c>
      <c r="C147" s="2" t="s">
        <v>345</v>
      </c>
      <c r="D147" s="2" t="str">
        <f t="shared" si="25"/>
        <v>Ellaria Swyft</v>
      </c>
      <c r="E147" s="2" t="s">
        <v>346</v>
      </c>
      <c r="F147" s="2" t="str">
        <f t="shared" si="26"/>
        <v>000.000.115-00</v>
      </c>
      <c r="G147" s="2">
        <v>72</v>
      </c>
      <c r="H147" s="2">
        <f ca="1">IF(G147="", DATEDIF(J147, TODAY(), "Y"), G147)</f>
        <v>72</v>
      </c>
      <c r="I147" s="2">
        <v>19839</v>
      </c>
      <c r="J147" s="6">
        <f t="shared" si="27"/>
        <v>19839</v>
      </c>
      <c r="K147" s="2" t="s">
        <v>27</v>
      </c>
      <c r="L147" s="2" t="str" cm="1">
        <f t="array" ref="L147">_xlfn.TEXTSPLIT(K147,"|")</f>
        <v>Ninho da Águia</v>
      </c>
      <c r="M147" s="2" t="s">
        <v>347</v>
      </c>
      <c r="N147" s="3">
        <v>3900</v>
      </c>
      <c r="O147" s="3">
        <f t="shared" si="28"/>
        <v>3900</v>
      </c>
      <c r="P147" s="4">
        <v>27000</v>
      </c>
      <c r="Q147" s="5">
        <f t="shared" si="29"/>
        <v>27000</v>
      </c>
      <c r="R147" s="2" t="s">
        <v>46</v>
      </c>
      <c r="S147" s="2" t="str">
        <f t="shared" si="30"/>
        <v>Não</v>
      </c>
      <c r="T147" s="2" t="str">
        <f t="shared" si="31"/>
        <v>Não</v>
      </c>
      <c r="U147" s="2">
        <v>33</v>
      </c>
      <c r="V147" s="2">
        <f t="shared" si="32"/>
        <v>33</v>
      </c>
      <c r="W147" s="2" t="str">
        <f t="shared" si="33"/>
        <v>alto</v>
      </c>
      <c r="X147" s="5">
        <v>2000</v>
      </c>
      <c r="Y147" t="str">
        <f t="shared" si="34"/>
        <v>Positivo</v>
      </c>
      <c r="Z147" t="str">
        <f t="shared" si="35"/>
        <v>Positivo</v>
      </c>
      <c r="AA147" s="1">
        <f>IF(AND(Y147="Negativo",Z147="Negativo"),0,IF(AND(B147="Ativo",OR(Y147="Positivo",Z147="Positivo")),X147*8%,0))</f>
        <v>160</v>
      </c>
    </row>
    <row r="148" spans="1:27">
      <c r="A148" s="2" t="s">
        <v>24</v>
      </c>
      <c r="B148" s="2" t="str">
        <f t="shared" si="24"/>
        <v>Ativo</v>
      </c>
      <c r="C148" s="2" t="s">
        <v>348</v>
      </c>
      <c r="D148" s="2" t="str">
        <f t="shared" si="25"/>
        <v>Grey  Worm  Greyjoy</v>
      </c>
      <c r="E148" s="2" t="s">
        <v>349</v>
      </c>
      <c r="F148" s="2" t="str">
        <f t="shared" si="26"/>
        <v>000.000.182-00</v>
      </c>
      <c r="G148" s="2">
        <v>58</v>
      </c>
      <c r="H148" s="2">
        <f ca="1">IF(G148="", DATEDIF(J148, TODAY(), "Y"), G148)</f>
        <v>58</v>
      </c>
      <c r="I148" s="6">
        <v>25066</v>
      </c>
      <c r="J148" s="6">
        <f t="shared" si="27"/>
        <v>25066</v>
      </c>
      <c r="K148" s="2" t="s">
        <v>110</v>
      </c>
      <c r="L148" s="2" t="str" cm="1">
        <f t="array" ref="L148">_xlfn.TEXTSPLIT(K148,"|")</f>
        <v>Jardim de Cima</v>
      </c>
      <c r="M148" s="2" t="s">
        <v>152</v>
      </c>
      <c r="N148" s="3">
        <v>4500</v>
      </c>
      <c r="O148" s="3">
        <f t="shared" si="28"/>
        <v>4500</v>
      </c>
      <c r="Q148" s="5">
        <f t="shared" si="29"/>
        <v>0</v>
      </c>
      <c r="R148" s="2" t="s">
        <v>29</v>
      </c>
      <c r="S148" s="2" t="str">
        <f t="shared" si="30"/>
        <v>Sim</v>
      </c>
      <c r="T148" s="2" t="str">
        <f t="shared" si="31"/>
        <v>Sim</v>
      </c>
      <c r="U148" s="2">
        <v>31</v>
      </c>
      <c r="V148" s="2">
        <f t="shared" si="32"/>
        <v>31</v>
      </c>
      <c r="W148" s="2" t="str">
        <f t="shared" si="33"/>
        <v>alto</v>
      </c>
      <c r="X148" s="5">
        <v>97500</v>
      </c>
      <c r="Y148" t="str">
        <f t="shared" si="34"/>
        <v>Negativo</v>
      </c>
      <c r="Z148" t="str">
        <f t="shared" si="35"/>
        <v>Positivo</v>
      </c>
      <c r="AA148" s="1">
        <f>IF(AND(Y148="Negativo",Z148="Negativo"),0,IF(AND(B148="Ativo",OR(Y148="Positivo",Z148="Positivo")),X148*8%,0))</f>
        <v>7800</v>
      </c>
    </row>
    <row r="149" spans="1:27">
      <c r="A149" s="2" t="s">
        <v>111</v>
      </c>
      <c r="B149" s="2" t="str">
        <f t="shared" si="24"/>
        <v>Ativo</v>
      </c>
      <c r="C149" s="2" t="s">
        <v>350</v>
      </c>
      <c r="D149" s="2" t="str">
        <f t="shared" si="25"/>
        <v>Jeor  Payne</v>
      </c>
      <c r="E149" s="2">
        <v>20900</v>
      </c>
      <c r="F149" s="2" t="str">
        <f t="shared" si="26"/>
        <v>000.000.209-00</v>
      </c>
      <c r="G149" s="2">
        <v>33</v>
      </c>
      <c r="H149" s="2">
        <f ca="1">IF(G149="", DATEDIF(J149, TODAY(), "Y"), G149)</f>
        <v>33</v>
      </c>
      <c r="I149" s="2">
        <v>34021</v>
      </c>
      <c r="J149" s="6">
        <f t="shared" si="27"/>
        <v>34021</v>
      </c>
      <c r="K149" s="2" t="s">
        <v>32</v>
      </c>
      <c r="L149" s="2" t="str" cm="1">
        <f t="array" ref="L149">_xlfn.TEXTSPLIT(K149,"|")</f>
        <v>Ponta Tempestade</v>
      </c>
      <c r="M149" s="2" t="s">
        <v>33</v>
      </c>
      <c r="O149" s="3" t="str">
        <f t="shared" si="28"/>
        <v/>
      </c>
      <c r="P149" s="4">
        <v>73500</v>
      </c>
      <c r="Q149" s="5">
        <f t="shared" si="29"/>
        <v>73500</v>
      </c>
      <c r="R149" s="2" t="s">
        <v>46</v>
      </c>
      <c r="S149" s="2" t="str">
        <f t="shared" si="30"/>
        <v>Não</v>
      </c>
      <c r="T149" s="2" t="str">
        <f t="shared" si="31"/>
        <v>Não</v>
      </c>
      <c r="U149" s="2">
        <v>33</v>
      </c>
      <c r="V149" s="2">
        <f t="shared" si="32"/>
        <v>33</v>
      </c>
      <c r="W149" s="2" t="str">
        <f t="shared" si="33"/>
        <v>alto</v>
      </c>
      <c r="X149" s="5">
        <v>95000</v>
      </c>
      <c r="Y149" t="str">
        <f t="shared" si="34"/>
        <v>Positivo</v>
      </c>
      <c r="Z149" t="str">
        <f t="shared" si="35"/>
        <v>Positivo</v>
      </c>
      <c r="AA149" s="1">
        <f>IF(AND(Y149="Negativo",Z149="Negativo"),0,IF(AND(B149="Ativo",OR(Y149="Positivo",Z149="Positivo")),X149*8%,0))</f>
        <v>7600</v>
      </c>
    </row>
    <row r="150" spans="1:27">
      <c r="A150" s="2" t="s">
        <v>24</v>
      </c>
      <c r="B150" s="2" t="str">
        <f t="shared" si="24"/>
        <v>Ativo</v>
      </c>
      <c r="C150" s="2" t="s">
        <v>351</v>
      </c>
      <c r="D150" s="2" t="str">
        <f t="shared" si="25"/>
        <v>Bronn Royce</v>
      </c>
      <c r="E150" s="2">
        <v>36900</v>
      </c>
      <c r="F150" s="2" t="str">
        <f t="shared" si="26"/>
        <v>000.000.369-00</v>
      </c>
      <c r="G150" s="2">
        <v>61</v>
      </c>
      <c r="H150" s="2">
        <f ca="1">IF(G150="", DATEDIF(J150, TODAY(), "Y"), G150)</f>
        <v>61</v>
      </c>
      <c r="I150" s="2">
        <v>23928</v>
      </c>
      <c r="J150" s="6">
        <f t="shared" si="27"/>
        <v>23928</v>
      </c>
      <c r="K150" s="2" t="s">
        <v>229</v>
      </c>
      <c r="L150" s="2" t="str" cm="1">
        <f t="array" ref="L150">_xlfn.TEXTSPLIT(K150,"|")</f>
        <v>Solar do Entardecer</v>
      </c>
      <c r="M150" s="2" t="s">
        <v>33</v>
      </c>
      <c r="N150" s="3">
        <v>22900</v>
      </c>
      <c r="O150" s="3">
        <f t="shared" si="28"/>
        <v>22900</v>
      </c>
      <c r="P150" s="4">
        <v>7500</v>
      </c>
      <c r="Q150" s="5">
        <f t="shared" si="29"/>
        <v>7500</v>
      </c>
      <c r="R150" s="2" t="s">
        <v>46</v>
      </c>
      <c r="S150" s="2" t="str">
        <f t="shared" si="30"/>
        <v>Não</v>
      </c>
      <c r="T150" s="2" t="str">
        <f t="shared" si="31"/>
        <v>Não</v>
      </c>
      <c r="U150" s="2">
        <v>12</v>
      </c>
      <c r="V150" s="2">
        <f t="shared" si="32"/>
        <v>12</v>
      </c>
      <c r="W150" s="2" t="str">
        <f t="shared" si="33"/>
        <v>médio</v>
      </c>
      <c r="X150" s="5">
        <v>73000</v>
      </c>
      <c r="Y150" t="str">
        <f t="shared" si="34"/>
        <v>Positivo</v>
      </c>
      <c r="Z150" t="str">
        <f t="shared" si="35"/>
        <v>Positivo</v>
      </c>
      <c r="AA150" s="1">
        <f>IF(AND(Y150="Negativo",Z150="Negativo"),0,IF(AND(B150="Ativo",OR(Y150="Positivo",Z150="Positivo")),X150*8%,0))</f>
        <v>5840</v>
      </c>
    </row>
    <row r="151" spans="1:27">
      <c r="A151" s="2" t="s">
        <v>24</v>
      </c>
      <c r="B151" s="2" t="str">
        <f t="shared" si="24"/>
        <v>Ativo</v>
      </c>
      <c r="C151" s="2" t="s">
        <v>352</v>
      </c>
      <c r="D151" s="2" t="str">
        <f t="shared" si="25"/>
        <v>Robert Hornwood</v>
      </c>
      <c r="E151" s="2" t="s">
        <v>353</v>
      </c>
      <c r="F151" s="2" t="str">
        <f t="shared" si="26"/>
        <v>000.000.259-00</v>
      </c>
      <c r="G151" s="2">
        <v>73</v>
      </c>
      <c r="H151" s="2">
        <f ca="1">IF(G151="", DATEDIF(J151, TODAY(), "Y"), G151)</f>
        <v>73</v>
      </c>
      <c r="I151" s="2">
        <v>19363</v>
      </c>
      <c r="J151" s="6">
        <f t="shared" si="27"/>
        <v>19363</v>
      </c>
      <c r="K151" s="2" t="s">
        <v>110</v>
      </c>
      <c r="L151" s="2" t="str" cm="1">
        <f t="array" ref="L151">_xlfn.TEXTSPLIT(K151,"|")</f>
        <v>Jardim de Cima</v>
      </c>
      <c r="M151" s="2" t="s">
        <v>87</v>
      </c>
      <c r="N151" s="3">
        <v>23000</v>
      </c>
      <c r="O151" s="3">
        <f t="shared" si="28"/>
        <v>23000</v>
      </c>
      <c r="P151" s="4">
        <v>19000</v>
      </c>
      <c r="Q151" s="5">
        <f t="shared" si="29"/>
        <v>19000</v>
      </c>
      <c r="R151" s="2" t="s">
        <v>46</v>
      </c>
      <c r="S151" s="2" t="str">
        <f t="shared" si="30"/>
        <v>Não</v>
      </c>
      <c r="T151" s="2" t="str">
        <f t="shared" si="31"/>
        <v>Não</v>
      </c>
      <c r="U151" s="2">
        <v>0</v>
      </c>
      <c r="V151" s="2">
        <f t="shared" si="32"/>
        <v>0</v>
      </c>
      <c r="W151" s="2" t="str">
        <f t="shared" si="33"/>
        <v>baixo</v>
      </c>
      <c r="X151" s="5">
        <v>17000</v>
      </c>
      <c r="Y151" t="str">
        <f t="shared" si="34"/>
        <v>Positivo</v>
      </c>
      <c r="Z151" t="str">
        <f t="shared" si="35"/>
        <v>Positivo</v>
      </c>
      <c r="AA151" s="1">
        <f>IF(AND(Y151="Negativo",Z151="Negativo"),0,IF(AND(B151="Ativo",OR(Y151="Positivo",Z151="Positivo")),X151*8%,0))</f>
        <v>1360</v>
      </c>
    </row>
    <row r="152" spans="1:27">
      <c r="A152" s="2" t="s">
        <v>354</v>
      </c>
      <c r="B152" s="2" t="str">
        <f t="shared" si="24"/>
        <v>Inativo</v>
      </c>
      <c r="C152" s="2" t="s">
        <v>355</v>
      </c>
      <c r="D152" s="2" t="str">
        <f t="shared" si="25"/>
        <v>Asha Bolton</v>
      </c>
      <c r="E152" s="2">
        <v>6900</v>
      </c>
      <c r="F152" s="2" t="str">
        <f t="shared" si="26"/>
        <v>000.000.069-00</v>
      </c>
      <c r="G152" s="2">
        <v>51</v>
      </c>
      <c r="H152" s="2">
        <f ca="1">IF(G152="", DATEDIF(J152, TODAY(), "Y"), G152)</f>
        <v>51</v>
      </c>
      <c r="I152" s="2">
        <v>27590</v>
      </c>
      <c r="J152" s="6">
        <f t="shared" si="27"/>
        <v>27590</v>
      </c>
      <c r="K152" s="2" t="s">
        <v>80</v>
      </c>
      <c r="L152" s="2" t="str" cm="1">
        <f t="array" ref="L152">_xlfn.TEXTSPLIT(K152,"|")</f>
        <v>Castelo Negro</v>
      </c>
      <c r="M152" s="2" t="s">
        <v>81</v>
      </c>
      <c r="N152" s="3">
        <v>19400</v>
      </c>
      <c r="O152" s="3">
        <f t="shared" si="28"/>
        <v>19400</v>
      </c>
      <c r="P152" s="4">
        <v>4000</v>
      </c>
      <c r="Q152" s="5">
        <f t="shared" si="29"/>
        <v>4000</v>
      </c>
      <c r="R152" s="2" t="s">
        <v>46</v>
      </c>
      <c r="S152" s="2" t="str">
        <f t="shared" si="30"/>
        <v>Não</v>
      </c>
      <c r="T152" s="2" t="str">
        <f t="shared" si="31"/>
        <v>Não</v>
      </c>
      <c r="U152" s="2">
        <v>30</v>
      </c>
      <c r="V152" s="2">
        <f t="shared" si="32"/>
        <v>30</v>
      </c>
      <c r="W152" s="2" t="str">
        <f t="shared" si="33"/>
        <v>alto</v>
      </c>
      <c r="X152" s="5">
        <v>38500</v>
      </c>
      <c r="Y152" t="str">
        <f t="shared" si="34"/>
        <v>Positivo</v>
      </c>
      <c r="Z152" t="str">
        <f t="shared" si="35"/>
        <v>Positivo</v>
      </c>
      <c r="AA152" s="1">
        <f>IF(AND(Y152="Negativo",Z152="Negativo"),0,IF(AND(B152="Ativo",OR(Y152="Positivo",Z152="Positivo")),X152*8%,0))</f>
        <v>0</v>
      </c>
    </row>
    <row r="153" spans="1:27">
      <c r="A153" s="2" t="s">
        <v>24</v>
      </c>
      <c r="B153" s="2" t="str">
        <f t="shared" si="24"/>
        <v>Ativo</v>
      </c>
      <c r="C153" s="2" t="s">
        <v>356</v>
      </c>
      <c r="D153" s="2" t="str">
        <f t="shared" si="25"/>
        <v>Bronn Blackwood</v>
      </c>
      <c r="E153" s="2" t="s">
        <v>357</v>
      </c>
      <c r="F153" s="2" t="str">
        <f t="shared" si="26"/>
        <v>000.000.052-00</v>
      </c>
      <c r="G153" s="2">
        <v>43</v>
      </c>
      <c r="H153" s="2">
        <f ca="1">IF(G153="", DATEDIF(J153, TODAY(), "Y"), G153)</f>
        <v>43</v>
      </c>
      <c r="I153" s="6">
        <v>30309</v>
      </c>
      <c r="J153" s="6">
        <f t="shared" si="27"/>
        <v>30309</v>
      </c>
      <c r="K153" s="2" t="s">
        <v>174</v>
      </c>
      <c r="L153" s="2" t="str" cm="1">
        <f t="array" ref="L153">_xlfn.TEXTSPLIT(K153,"|")</f>
        <v>Atalaia da Água Cinzenta</v>
      </c>
      <c r="M153" s="2" t="s">
        <v>175</v>
      </c>
      <c r="N153" s="3">
        <v>18400</v>
      </c>
      <c r="O153" s="3">
        <f t="shared" si="28"/>
        <v>18400</v>
      </c>
      <c r="P153" s="4">
        <v>62000</v>
      </c>
      <c r="Q153" s="5">
        <f t="shared" si="29"/>
        <v>62000</v>
      </c>
      <c r="R153" s="2" t="s">
        <v>46</v>
      </c>
      <c r="S153" s="2" t="str">
        <f t="shared" si="30"/>
        <v>Não</v>
      </c>
      <c r="T153" s="2" t="str">
        <f t="shared" si="31"/>
        <v>Não</v>
      </c>
      <c r="U153" s="2">
        <v>33</v>
      </c>
      <c r="V153" s="2">
        <f t="shared" si="32"/>
        <v>33</v>
      </c>
      <c r="W153" s="2" t="str">
        <f t="shared" si="33"/>
        <v>alto</v>
      </c>
      <c r="X153" s="5">
        <v>31000</v>
      </c>
      <c r="Y153" t="str">
        <f t="shared" si="34"/>
        <v>Positivo</v>
      </c>
      <c r="Z153" t="str">
        <f t="shared" si="35"/>
        <v>Positivo</v>
      </c>
      <c r="AA153" s="1">
        <f>IF(AND(Y153="Negativo",Z153="Negativo"),0,IF(AND(B153="Ativo",OR(Y153="Positivo",Z153="Positivo")),X153*8%,0))</f>
        <v>2480</v>
      </c>
    </row>
    <row r="154" spans="1:27">
      <c r="A154" s="2" t="s">
        <v>30</v>
      </c>
      <c r="B154" s="2" t="str">
        <f t="shared" si="24"/>
        <v>Inativo</v>
      </c>
      <c r="C154" s="2" t="s">
        <v>358</v>
      </c>
      <c r="D154" s="2" t="str">
        <f t="shared" si="25"/>
        <v>Daario Arryn</v>
      </c>
      <c r="E154" s="2" t="s">
        <v>359</v>
      </c>
      <c r="F154" s="2" t="str">
        <f t="shared" si="26"/>
        <v>000.000.173-00</v>
      </c>
      <c r="G154" s="2">
        <v>63</v>
      </c>
      <c r="H154" s="2">
        <f ca="1">IF(G154="", DATEDIF(J154, TODAY(), "Y"), G154)</f>
        <v>63</v>
      </c>
      <c r="I154" s="2">
        <v>23119</v>
      </c>
      <c r="J154" s="6">
        <f t="shared" si="27"/>
        <v>23119</v>
      </c>
      <c r="K154" s="2" t="s">
        <v>27</v>
      </c>
      <c r="L154" s="2" t="str" cm="1">
        <f t="array" ref="L154">_xlfn.TEXTSPLIT(K154,"|")</f>
        <v>Ninho da Águia</v>
      </c>
      <c r="M154" s="2" t="s">
        <v>45</v>
      </c>
      <c r="N154" s="3">
        <v>9300</v>
      </c>
      <c r="O154" s="3">
        <f t="shared" si="28"/>
        <v>9300</v>
      </c>
      <c r="P154" s="4">
        <v>48500</v>
      </c>
      <c r="Q154" s="5">
        <f t="shared" si="29"/>
        <v>48500</v>
      </c>
      <c r="R154" s="2" t="s">
        <v>46</v>
      </c>
      <c r="S154" s="2" t="str">
        <f t="shared" si="30"/>
        <v>Não</v>
      </c>
      <c r="T154" s="2" t="str">
        <f t="shared" si="31"/>
        <v>Não</v>
      </c>
      <c r="U154" s="2">
        <v>28</v>
      </c>
      <c r="V154" s="2">
        <f t="shared" si="32"/>
        <v>28</v>
      </c>
      <c r="W154" s="2" t="str">
        <f t="shared" si="33"/>
        <v>alto</v>
      </c>
      <c r="X154" s="5">
        <v>20000</v>
      </c>
      <c r="Y154" t="str">
        <f t="shared" si="34"/>
        <v>Positivo</v>
      </c>
      <c r="Z154" t="str">
        <f t="shared" si="35"/>
        <v>Positivo</v>
      </c>
      <c r="AA154" s="1">
        <f>IF(AND(Y154="Negativo",Z154="Negativo"),0,IF(AND(B154="Ativo",OR(Y154="Positivo",Z154="Positivo")),X154*8%,0))</f>
        <v>0</v>
      </c>
    </row>
    <row r="155" spans="1:27">
      <c r="A155" s="2" t="s">
        <v>30</v>
      </c>
      <c r="B155" s="2" t="str">
        <f t="shared" si="24"/>
        <v>Inativo</v>
      </c>
      <c r="C155" s="2" t="s">
        <v>360</v>
      </c>
      <c r="D155" s="2" t="str">
        <f t="shared" si="25"/>
        <v>Jeor Marbrand</v>
      </c>
      <c r="E155" s="2" t="s">
        <v>361</v>
      </c>
      <c r="F155" s="2" t="str">
        <f t="shared" si="26"/>
        <v>000.000.073-00</v>
      </c>
      <c r="G155" s="2">
        <v>63</v>
      </c>
      <c r="H155" s="2">
        <f ca="1">IF(G155="", DATEDIF(J155, TODAY(), "Y"), G155)</f>
        <v>63</v>
      </c>
      <c r="I155" s="6">
        <v>22924</v>
      </c>
      <c r="J155" s="6">
        <f t="shared" si="27"/>
        <v>22924</v>
      </c>
      <c r="K155" s="2" t="s">
        <v>68</v>
      </c>
      <c r="L155" s="2" t="str" cm="1">
        <f t="array" ref="L155">_xlfn.TEXTSPLIT(K155,"|")</f>
        <v>Braavos</v>
      </c>
      <c r="M155" s="2" t="s">
        <v>187</v>
      </c>
      <c r="N155" s="3">
        <v>29000</v>
      </c>
      <c r="O155" s="3">
        <f t="shared" si="28"/>
        <v>29000</v>
      </c>
      <c r="P155" s="4">
        <v>36500</v>
      </c>
      <c r="Q155" s="5">
        <f t="shared" si="29"/>
        <v>36500</v>
      </c>
      <c r="R155" s="2" t="s">
        <v>46</v>
      </c>
      <c r="S155" s="2" t="str">
        <f t="shared" si="30"/>
        <v>Não</v>
      </c>
      <c r="T155" s="2" t="str">
        <f t="shared" si="31"/>
        <v>Não</v>
      </c>
      <c r="U155" s="2">
        <v>38</v>
      </c>
      <c r="V155" s="2">
        <f t="shared" si="32"/>
        <v>38</v>
      </c>
      <c r="W155" s="2" t="str">
        <f t="shared" si="33"/>
        <v>alto</v>
      </c>
      <c r="X155" s="5">
        <v>47000</v>
      </c>
      <c r="Y155" t="str">
        <f t="shared" si="34"/>
        <v>Positivo</v>
      </c>
      <c r="Z155" t="str">
        <f t="shared" si="35"/>
        <v>Positivo</v>
      </c>
      <c r="AA155" s="1">
        <f>IF(AND(Y155="Negativo",Z155="Negativo"),0,IF(AND(B155="Ativo",OR(Y155="Positivo",Z155="Positivo")),X155*8%,0))</f>
        <v>0</v>
      </c>
    </row>
    <row r="156" spans="1:27">
      <c r="A156" s="2" t="s">
        <v>30</v>
      </c>
      <c r="B156" s="2" t="str">
        <f t="shared" si="24"/>
        <v>Inativo</v>
      </c>
      <c r="C156" s="2" t="s">
        <v>362</v>
      </c>
      <c r="D156" s="2" t="str">
        <f t="shared" si="25"/>
        <v>Petyr Karstark</v>
      </c>
      <c r="E156" s="2">
        <v>23700</v>
      </c>
      <c r="F156" s="2" t="str">
        <f t="shared" si="26"/>
        <v>000.000.237-00</v>
      </c>
      <c r="H156" s="2">
        <f ca="1">IF(G156="", DATEDIF(J156, TODAY(), "Y"), G156)</f>
        <v>74</v>
      </c>
      <c r="I156" s="2">
        <v>19234</v>
      </c>
      <c r="J156" s="6">
        <f t="shared" si="27"/>
        <v>19234</v>
      </c>
      <c r="K156" s="2" t="s">
        <v>110</v>
      </c>
      <c r="L156" s="2" t="str" cm="1">
        <f t="array" ref="L156">_xlfn.TEXTSPLIT(K156,"|")</f>
        <v>Jardim de Cima</v>
      </c>
      <c r="M156" s="2" t="s">
        <v>87</v>
      </c>
      <c r="N156" s="3">
        <v>8900</v>
      </c>
      <c r="O156" s="3">
        <f t="shared" si="28"/>
        <v>8900</v>
      </c>
      <c r="P156" s="4">
        <v>4000</v>
      </c>
      <c r="Q156" s="5">
        <f t="shared" si="29"/>
        <v>4000</v>
      </c>
      <c r="R156" s="2" t="s">
        <v>46</v>
      </c>
      <c r="S156" s="2" t="str">
        <f t="shared" si="30"/>
        <v>Não</v>
      </c>
      <c r="T156" s="2" t="str">
        <f t="shared" si="31"/>
        <v>Não</v>
      </c>
      <c r="U156" s="2">
        <v>38</v>
      </c>
      <c r="V156" s="2">
        <f t="shared" si="32"/>
        <v>38</v>
      </c>
      <c r="W156" s="2" t="str">
        <f t="shared" si="33"/>
        <v>alto</v>
      </c>
      <c r="X156" s="5">
        <v>22500</v>
      </c>
      <c r="Y156" t="str">
        <f t="shared" si="34"/>
        <v>Positivo</v>
      </c>
      <c r="Z156" t="str">
        <f t="shared" si="35"/>
        <v>Positivo</v>
      </c>
      <c r="AA156" s="1">
        <f>IF(AND(Y156="Negativo",Z156="Negativo"),0,IF(AND(B156="Ativo",OR(Y156="Positivo",Z156="Positivo")),X156*8%,0))</f>
        <v>0</v>
      </c>
    </row>
    <row r="157" spans="1:27">
      <c r="B157" s="2" t="str">
        <f t="shared" si="24"/>
        <v>Inativo</v>
      </c>
      <c r="C157" s="2" t="s">
        <v>363</v>
      </c>
      <c r="D157" s="2" t="str">
        <f t="shared" si="25"/>
        <v>Ramsay Stark</v>
      </c>
      <c r="E157" s="2" t="s">
        <v>364</v>
      </c>
      <c r="F157" s="2" t="str">
        <f t="shared" si="26"/>
        <v>000.000.169-00</v>
      </c>
      <c r="G157" s="2">
        <v>61</v>
      </c>
      <c r="H157" s="2">
        <f ca="1">IF(G157="", DATEDIF(J157, TODAY(), "Y"), G157)</f>
        <v>61</v>
      </c>
      <c r="I157" s="2">
        <v>23813</v>
      </c>
      <c r="J157" s="6">
        <f t="shared" si="27"/>
        <v>23813</v>
      </c>
      <c r="K157" s="2" t="s">
        <v>68</v>
      </c>
      <c r="L157" s="2" t="str" cm="1">
        <f t="array" ref="L157">_xlfn.TEXTSPLIT(K157,"|")</f>
        <v>Braavos</v>
      </c>
      <c r="M157" s="2" t="s">
        <v>64</v>
      </c>
      <c r="N157" s="3">
        <v>26300</v>
      </c>
      <c r="O157" s="3">
        <f t="shared" si="28"/>
        <v>26300</v>
      </c>
      <c r="P157" s="4">
        <v>40000</v>
      </c>
      <c r="Q157" s="5">
        <f t="shared" si="29"/>
        <v>40000</v>
      </c>
      <c r="R157" s="2" t="s">
        <v>29</v>
      </c>
      <c r="S157" s="2" t="str">
        <f t="shared" si="30"/>
        <v>Sim</v>
      </c>
      <c r="T157" s="2" t="str">
        <f t="shared" si="31"/>
        <v>Sim</v>
      </c>
      <c r="U157" s="2">
        <v>10</v>
      </c>
      <c r="V157" s="2">
        <f t="shared" si="32"/>
        <v>10</v>
      </c>
      <c r="W157" s="2" t="str">
        <f t="shared" si="33"/>
        <v>baixo</v>
      </c>
      <c r="X157" s="5">
        <v>16500</v>
      </c>
      <c r="Y157" t="str">
        <f t="shared" si="34"/>
        <v>Positivo</v>
      </c>
      <c r="Z157" t="str">
        <f t="shared" si="35"/>
        <v>Positivo</v>
      </c>
      <c r="AA157" s="1">
        <f>IF(AND(Y157="Negativo",Z157="Negativo"),0,IF(AND(B157="Ativo",OR(Y157="Positivo",Z157="Positivo")),X157*8%,0))</f>
        <v>0</v>
      </c>
    </row>
    <row r="158" spans="1:27">
      <c r="A158" s="2" t="s">
        <v>24</v>
      </c>
      <c r="B158" s="2" t="str">
        <f t="shared" si="24"/>
        <v>Ativo</v>
      </c>
      <c r="C158" s="2" t="s">
        <v>365</v>
      </c>
      <c r="D158" s="2" t="str">
        <f t="shared" si="25"/>
        <v>Thoros Karstark</v>
      </c>
      <c r="E158" s="2" t="s">
        <v>366</v>
      </c>
      <c r="F158" s="2" t="str">
        <f t="shared" si="26"/>
        <v>000.000.012-00</v>
      </c>
      <c r="G158" s="2">
        <v>53</v>
      </c>
      <c r="H158" s="2">
        <f ca="1">IF(G158="", DATEDIF(J158, TODAY(), "Y"), G158)</f>
        <v>53</v>
      </c>
      <c r="I158" s="6">
        <v>26631</v>
      </c>
      <c r="J158" s="6">
        <f t="shared" si="27"/>
        <v>26631</v>
      </c>
      <c r="K158" s="2" t="s">
        <v>174</v>
      </c>
      <c r="L158" s="2" t="str" cm="1">
        <f t="array" ref="L158">_xlfn.TEXTSPLIT(K158,"|")</f>
        <v>Atalaia da Água Cinzenta</v>
      </c>
      <c r="M158" s="2" t="s">
        <v>367</v>
      </c>
      <c r="N158" s="3">
        <v>22700</v>
      </c>
      <c r="O158" s="3">
        <f t="shared" si="28"/>
        <v>22700</v>
      </c>
      <c r="P158" s="4">
        <v>42500</v>
      </c>
      <c r="Q158" s="5">
        <f t="shared" si="29"/>
        <v>42500</v>
      </c>
      <c r="R158" s="2" t="s">
        <v>29</v>
      </c>
      <c r="S158" s="2" t="str">
        <f t="shared" si="30"/>
        <v>Sim</v>
      </c>
      <c r="T158" s="2" t="str">
        <f t="shared" si="31"/>
        <v>Sim</v>
      </c>
      <c r="U158" s="2">
        <v>25</v>
      </c>
      <c r="V158" s="2">
        <f t="shared" si="32"/>
        <v>25</v>
      </c>
      <c r="W158" s="2" t="str">
        <f t="shared" si="33"/>
        <v>médio</v>
      </c>
      <c r="X158" s="5">
        <v>86000</v>
      </c>
      <c r="Y158" t="str">
        <f t="shared" si="34"/>
        <v>Positivo</v>
      </c>
      <c r="Z158" t="str">
        <f t="shared" si="35"/>
        <v>Positivo</v>
      </c>
      <c r="AA158" s="1">
        <f>IF(AND(Y158="Negativo",Z158="Negativo"),0,IF(AND(B158="Ativo",OR(Y158="Positivo",Z158="Positivo")),X158*8%,0))</f>
        <v>6880</v>
      </c>
    </row>
    <row r="159" spans="1:27">
      <c r="A159" s="2" t="s">
        <v>24</v>
      </c>
      <c r="B159" s="2" t="str">
        <f t="shared" si="24"/>
        <v>Ativo</v>
      </c>
      <c r="C159" s="2" t="s">
        <v>368</v>
      </c>
      <c r="D159" s="2" t="str">
        <f t="shared" si="25"/>
        <v>Ellaria Martell</v>
      </c>
      <c r="E159" s="2" t="s">
        <v>369</v>
      </c>
      <c r="F159" s="2" t="str">
        <f t="shared" si="26"/>
        <v>000.000.148-00</v>
      </c>
      <c r="G159" s="2">
        <v>48</v>
      </c>
      <c r="H159" s="2">
        <f ca="1">IF(G159="", DATEDIF(J159, TODAY(), "Y"), G159)</f>
        <v>48</v>
      </c>
      <c r="I159" s="2">
        <v>28673</v>
      </c>
      <c r="J159" s="6">
        <f t="shared" si="27"/>
        <v>28673</v>
      </c>
      <c r="K159" s="2" t="s">
        <v>174</v>
      </c>
      <c r="L159" s="2" t="str" cm="1">
        <f t="array" ref="L159">_xlfn.TEXTSPLIT(K159,"|")</f>
        <v>Atalaia da Água Cinzenta</v>
      </c>
      <c r="M159" s="2" t="s">
        <v>367</v>
      </c>
      <c r="N159" s="3">
        <v>2300</v>
      </c>
      <c r="O159" s="3">
        <f t="shared" si="28"/>
        <v>2300</v>
      </c>
      <c r="P159" s="4">
        <v>26500</v>
      </c>
      <c r="Q159" s="5">
        <f t="shared" si="29"/>
        <v>26500</v>
      </c>
      <c r="R159" s="2" t="s">
        <v>39</v>
      </c>
      <c r="S159" s="2" t="str">
        <f t="shared" si="30"/>
        <v>não</v>
      </c>
      <c r="T159" s="2" t="str">
        <f t="shared" si="31"/>
        <v>Não</v>
      </c>
      <c r="U159" s="2">
        <v>44</v>
      </c>
      <c r="V159" s="2">
        <f t="shared" si="32"/>
        <v>44</v>
      </c>
      <c r="W159" s="2" t="str">
        <f t="shared" si="33"/>
        <v>alto</v>
      </c>
      <c r="X159" s="5">
        <v>81000</v>
      </c>
      <c r="Y159" t="str">
        <f t="shared" si="34"/>
        <v>Positivo</v>
      </c>
      <c r="Z159" t="str">
        <f t="shared" si="35"/>
        <v>Positivo</v>
      </c>
      <c r="AA159" s="1">
        <f>IF(AND(Y159="Negativo",Z159="Negativo"),0,IF(AND(B159="Ativo",OR(Y159="Positivo",Z159="Positivo")),X159*8%,0))</f>
        <v>6480</v>
      </c>
    </row>
    <row r="160" spans="1:27">
      <c r="A160" s="2" t="s">
        <v>30</v>
      </c>
      <c r="B160" s="2" t="str">
        <f t="shared" si="24"/>
        <v>Inativo</v>
      </c>
      <c r="C160" s="2" t="s">
        <v>370</v>
      </c>
      <c r="D160" s="2" t="str">
        <f t="shared" si="25"/>
        <v>Yara Payne</v>
      </c>
      <c r="E160" s="2" t="s">
        <v>371</v>
      </c>
      <c r="F160" s="2" t="str">
        <f t="shared" si="26"/>
        <v>000.000.250-00</v>
      </c>
      <c r="H160" s="2">
        <f ca="1">IF(G160="", DATEDIF(J160, TODAY(), "Y"), G160)</f>
        <v>22</v>
      </c>
      <c r="I160" s="2">
        <v>38001</v>
      </c>
      <c r="J160" s="6">
        <f t="shared" si="27"/>
        <v>38001</v>
      </c>
      <c r="K160" s="2" t="s">
        <v>100</v>
      </c>
      <c r="L160" s="2" t="str" cm="1">
        <f t="array" ref="L160">_xlfn.TEXTSPLIT(K160,"|")</f>
        <v>Fosso Cailin</v>
      </c>
      <c r="M160" s="2" t="s">
        <v>93</v>
      </c>
      <c r="N160" s="3">
        <v>2100</v>
      </c>
      <c r="O160" s="3">
        <f t="shared" si="28"/>
        <v>2100</v>
      </c>
      <c r="P160" s="4">
        <v>79500</v>
      </c>
      <c r="Q160" s="5">
        <f t="shared" si="29"/>
        <v>79500</v>
      </c>
      <c r="R160" s="2" t="s">
        <v>29</v>
      </c>
      <c r="S160" s="2" t="str">
        <f t="shared" si="30"/>
        <v>Sim</v>
      </c>
      <c r="T160" s="2" t="str">
        <f t="shared" si="31"/>
        <v>Sim</v>
      </c>
      <c r="U160" s="2">
        <v>29</v>
      </c>
      <c r="V160" s="2">
        <f t="shared" si="32"/>
        <v>29</v>
      </c>
      <c r="W160" s="2" t="str">
        <f t="shared" si="33"/>
        <v>alto</v>
      </c>
      <c r="X160" s="5">
        <v>64000</v>
      </c>
      <c r="Y160" t="str">
        <f t="shared" si="34"/>
        <v>Negativo</v>
      </c>
      <c r="Z160" t="str">
        <f t="shared" si="35"/>
        <v>Negativo</v>
      </c>
      <c r="AA160" s="1">
        <f>IF(AND(Y160="Negativo",Z160="Negativo"),0,IF(AND(B160="Ativo",OR(Y160="Positivo",Z160="Positivo")),X160*8%,0))</f>
        <v>0</v>
      </c>
    </row>
    <row r="161" spans="1:27">
      <c r="A161" s="2" t="s">
        <v>30</v>
      </c>
      <c r="B161" s="2" t="str">
        <f t="shared" si="24"/>
        <v>Inativo</v>
      </c>
      <c r="C161" s="2" t="s">
        <v>372</v>
      </c>
      <c r="D161" s="2" t="str">
        <f t="shared" si="25"/>
        <v>Viserys Baratheon</v>
      </c>
      <c r="E161" s="2" t="s">
        <v>373</v>
      </c>
      <c r="F161" s="2" t="str">
        <f t="shared" si="26"/>
        <v>000.000.186-00</v>
      </c>
      <c r="G161" s="2">
        <v>33</v>
      </c>
      <c r="H161" s="2">
        <f ca="1">IF(G161="", DATEDIF(J161, TODAY(), "Y"), G161)</f>
        <v>33</v>
      </c>
      <c r="I161" s="6">
        <v>33955</v>
      </c>
      <c r="J161" s="6">
        <f t="shared" si="27"/>
        <v>33955</v>
      </c>
      <c r="K161" s="2" t="s">
        <v>107</v>
      </c>
      <c r="L161" s="2" t="str" cm="1">
        <f t="array" ref="L161">_xlfn.TEXTSPLIT(K161,"|")</f>
        <v>Winterfell</v>
      </c>
      <c r="M161" s="2" t="s">
        <v>81</v>
      </c>
      <c r="N161" s="3">
        <v>25700</v>
      </c>
      <c r="O161" s="3">
        <f t="shared" si="28"/>
        <v>25700</v>
      </c>
      <c r="P161" s="4">
        <v>35000</v>
      </c>
      <c r="Q161" s="5">
        <f t="shared" si="29"/>
        <v>35000</v>
      </c>
      <c r="R161" s="2" t="s">
        <v>46</v>
      </c>
      <c r="S161" s="2" t="str">
        <f t="shared" si="30"/>
        <v>Não</v>
      </c>
      <c r="T161" s="2" t="str">
        <f t="shared" si="31"/>
        <v>Não</v>
      </c>
      <c r="U161" s="2">
        <v>40</v>
      </c>
      <c r="V161" s="2">
        <f t="shared" si="32"/>
        <v>40</v>
      </c>
      <c r="W161" s="2" t="str">
        <f t="shared" si="33"/>
        <v>alto</v>
      </c>
      <c r="X161" s="5">
        <v>1000</v>
      </c>
      <c r="Y161" t="str">
        <f t="shared" si="34"/>
        <v>Positivo</v>
      </c>
      <c r="Z161" t="str">
        <f t="shared" si="35"/>
        <v>Positivo</v>
      </c>
      <c r="AA161" s="1">
        <f>IF(AND(Y161="Negativo",Z161="Negativo"),0,IF(AND(B161="Ativo",OR(Y161="Positivo",Z161="Positivo")),X161*8%,0))</f>
        <v>0</v>
      </c>
    </row>
    <row r="162" spans="1:27">
      <c r="A162" s="2" t="s">
        <v>30</v>
      </c>
      <c r="B162" s="2" t="str">
        <f t="shared" si="24"/>
        <v>Inativo</v>
      </c>
      <c r="C162" s="2" t="s">
        <v>374</v>
      </c>
      <c r="D162" s="2" t="str">
        <f t="shared" si="25"/>
        <v>Jeor Clegane</v>
      </c>
      <c r="E162" s="2">
        <v>27300</v>
      </c>
      <c r="F162" s="2" t="str">
        <f t="shared" si="26"/>
        <v>000.000.273-00</v>
      </c>
      <c r="G162" s="2">
        <v>66</v>
      </c>
      <c r="H162" s="2">
        <f ca="1">IF(G162="", DATEDIF(J162, TODAY(), "Y"), G162)</f>
        <v>66</v>
      </c>
      <c r="I162" s="2">
        <v>21873</v>
      </c>
      <c r="J162" s="6">
        <f t="shared" si="27"/>
        <v>21873</v>
      </c>
      <c r="K162" s="2" t="s">
        <v>100</v>
      </c>
      <c r="L162" s="2" t="str" cm="1">
        <f t="array" ref="L162">_xlfn.TEXTSPLIT(K162,"|")</f>
        <v>Fosso Cailin</v>
      </c>
      <c r="M162" s="2" t="s">
        <v>81</v>
      </c>
      <c r="N162" s="3">
        <v>9900</v>
      </c>
      <c r="O162" s="3">
        <f t="shared" si="28"/>
        <v>9900</v>
      </c>
      <c r="P162" s="4">
        <v>42000</v>
      </c>
      <c r="Q162" s="5">
        <f t="shared" si="29"/>
        <v>42000</v>
      </c>
      <c r="R162" s="2" t="s">
        <v>46</v>
      </c>
      <c r="S162" s="2" t="str">
        <f t="shared" si="30"/>
        <v>Não</v>
      </c>
      <c r="T162" s="2" t="str">
        <f t="shared" si="31"/>
        <v>Não</v>
      </c>
      <c r="U162" s="2">
        <v>13</v>
      </c>
      <c r="V162" s="2">
        <f t="shared" si="32"/>
        <v>13</v>
      </c>
      <c r="W162" s="2" t="str">
        <f t="shared" si="33"/>
        <v>médio</v>
      </c>
      <c r="X162" s="5">
        <v>37000</v>
      </c>
      <c r="Y162" t="str">
        <f t="shared" si="34"/>
        <v>Positivo</v>
      </c>
      <c r="Z162" t="str">
        <f t="shared" si="35"/>
        <v>Positivo</v>
      </c>
      <c r="AA162" s="1">
        <f>IF(AND(Y162="Negativo",Z162="Negativo"),0,IF(AND(B162="Ativo",OR(Y162="Positivo",Z162="Positivo")),X162*8%,0))</f>
        <v>0</v>
      </c>
    </row>
    <row r="163" spans="1:27">
      <c r="A163" s="2" t="s">
        <v>111</v>
      </c>
      <c r="B163" s="2" t="str">
        <f t="shared" si="24"/>
        <v>Ativo</v>
      </c>
      <c r="C163" s="2" t="s">
        <v>375</v>
      </c>
      <c r="D163" s="2" t="str">
        <f t="shared" si="25"/>
        <v>Sandor Westerling</v>
      </c>
      <c r="E163" s="2">
        <v>33700</v>
      </c>
      <c r="F163" s="2" t="str">
        <f t="shared" si="26"/>
        <v>000.000.337-00</v>
      </c>
      <c r="G163" s="2">
        <v>44</v>
      </c>
      <c r="H163" s="2">
        <f ca="1">IF(G163="", DATEDIF(J163, TODAY(), "Y"), G163)</f>
        <v>44</v>
      </c>
      <c r="I163" s="2">
        <v>30167</v>
      </c>
      <c r="J163" s="6">
        <f t="shared" si="27"/>
        <v>30167</v>
      </c>
      <c r="K163" s="2" t="s">
        <v>86</v>
      </c>
      <c r="L163" s="2" t="str" cm="1">
        <f t="array" ref="L163">_xlfn.TEXTSPLIT(K163,"|")</f>
        <v>Vilavelha</v>
      </c>
      <c r="N163" s="3">
        <v>5500</v>
      </c>
      <c r="O163" s="3">
        <f t="shared" si="28"/>
        <v>5500</v>
      </c>
      <c r="P163" s="4">
        <v>26000</v>
      </c>
      <c r="Q163" s="5">
        <f t="shared" si="29"/>
        <v>26000</v>
      </c>
      <c r="R163" s="2" t="s">
        <v>46</v>
      </c>
      <c r="S163" s="2" t="str">
        <f t="shared" si="30"/>
        <v>Não</v>
      </c>
      <c r="T163" s="2" t="str">
        <f t="shared" si="31"/>
        <v>Não</v>
      </c>
      <c r="U163" s="2">
        <v>30</v>
      </c>
      <c r="V163" s="2">
        <f t="shared" si="32"/>
        <v>30</v>
      </c>
      <c r="W163" s="2" t="str">
        <f t="shared" si="33"/>
        <v>alto</v>
      </c>
      <c r="X163" s="5">
        <v>64000</v>
      </c>
      <c r="Y163" t="str">
        <f t="shared" si="34"/>
        <v>Positivo</v>
      </c>
      <c r="Z163" t="str">
        <f t="shared" si="35"/>
        <v>Positivo</v>
      </c>
      <c r="AA163" s="1">
        <f>IF(AND(Y163="Negativo",Z163="Negativo"),0,IF(AND(B163="Ativo",OR(Y163="Positivo",Z163="Positivo")),X163*8%,0))</f>
        <v>5120</v>
      </c>
    </row>
    <row r="164" spans="1:27">
      <c r="A164" s="2" t="s">
        <v>30</v>
      </c>
      <c r="B164" s="2" t="str">
        <f t="shared" si="24"/>
        <v>Inativo</v>
      </c>
      <c r="C164" s="2" t="s">
        <v>376</v>
      </c>
      <c r="D164" s="2" t="str">
        <f t="shared" si="25"/>
        <v>Gilly Frey</v>
      </c>
      <c r="E164" s="2" t="s">
        <v>377</v>
      </c>
      <c r="F164" s="2" t="str">
        <f t="shared" si="26"/>
        <v>000.000.258-00</v>
      </c>
      <c r="G164" s="2">
        <v>33</v>
      </c>
      <c r="H164" s="2">
        <f ca="1">IF(G164="", DATEDIF(J164, TODAY(), "Y"), G164)</f>
        <v>33</v>
      </c>
      <c r="I164" s="6">
        <v>34154</v>
      </c>
      <c r="J164" s="6">
        <f t="shared" si="27"/>
        <v>34154</v>
      </c>
      <c r="K164" s="2" t="s">
        <v>80</v>
      </c>
      <c r="L164" s="2" t="str" cm="1">
        <f t="array" ref="L164">_xlfn.TEXTSPLIT(K164,"|")</f>
        <v>Castelo Negro</v>
      </c>
      <c r="M164" s="2" t="s">
        <v>81</v>
      </c>
      <c r="N164" s="3">
        <v>2400</v>
      </c>
      <c r="O164" s="3">
        <f t="shared" si="28"/>
        <v>2400</v>
      </c>
      <c r="P164" s="4">
        <v>78000</v>
      </c>
      <c r="Q164" s="5">
        <f t="shared" si="29"/>
        <v>78000</v>
      </c>
      <c r="R164" s="2" t="s">
        <v>46</v>
      </c>
      <c r="S164" s="2" t="str">
        <f t="shared" si="30"/>
        <v>Não</v>
      </c>
      <c r="T164" s="2" t="str">
        <f t="shared" si="31"/>
        <v>Não</v>
      </c>
      <c r="U164" s="2">
        <v>6</v>
      </c>
      <c r="V164" s="2">
        <f t="shared" si="32"/>
        <v>6</v>
      </c>
      <c r="W164" s="2" t="str">
        <f t="shared" si="33"/>
        <v>baixo</v>
      </c>
      <c r="X164" s="5">
        <v>28000</v>
      </c>
      <c r="Y164" t="str">
        <f t="shared" si="34"/>
        <v>Positivo</v>
      </c>
      <c r="Z164" t="str">
        <f t="shared" si="35"/>
        <v>Positivo</v>
      </c>
      <c r="AA164" s="1">
        <f>IF(AND(Y164="Negativo",Z164="Negativo"),0,IF(AND(B164="Ativo",OR(Y164="Positivo",Z164="Positivo")),X164*8%,0))</f>
        <v>0</v>
      </c>
    </row>
    <row r="165" spans="1:27">
      <c r="A165" s="2" t="s">
        <v>24</v>
      </c>
      <c r="B165" s="2" t="str">
        <f t="shared" si="24"/>
        <v>Ativo</v>
      </c>
      <c r="C165" s="2" t="s">
        <v>378</v>
      </c>
      <c r="D165" s="2" t="str">
        <f t="shared" si="25"/>
        <v>Loras Bracken</v>
      </c>
      <c r="E165" s="2" t="s">
        <v>379</v>
      </c>
      <c r="F165" s="2" t="str">
        <f t="shared" si="26"/>
        <v>000.000.254-00</v>
      </c>
      <c r="G165" s="2">
        <v>51</v>
      </c>
      <c r="H165" s="2">
        <f ca="1">IF(G165="", DATEDIF(J165, TODAY(), "Y"), G165)</f>
        <v>51</v>
      </c>
      <c r="I165" s="6">
        <v>27505</v>
      </c>
      <c r="J165" s="6">
        <f t="shared" si="27"/>
        <v>27505</v>
      </c>
      <c r="K165" s="2" t="s">
        <v>380</v>
      </c>
      <c r="L165" s="2" t="str" cm="1">
        <f t="array" ref="L165:M165">_xlfn.TEXTSPLIT(K165,"|")</f>
        <v xml:space="preserve">Atalaia da Água Cinzenta </v>
      </c>
      <c r="M165" s="2" t="str">
        <v xml:space="preserve"> Gargalo</v>
      </c>
      <c r="N165" s="3">
        <v>7200</v>
      </c>
      <c r="O165" s="3">
        <f t="shared" si="28"/>
        <v>7200</v>
      </c>
      <c r="P165" s="4">
        <v>17500</v>
      </c>
      <c r="Q165" s="5">
        <f t="shared" si="29"/>
        <v>17500</v>
      </c>
      <c r="R165" s="2" t="s">
        <v>29</v>
      </c>
      <c r="S165" s="2" t="str">
        <f t="shared" si="30"/>
        <v>Sim</v>
      </c>
      <c r="T165" s="2" t="str">
        <f t="shared" si="31"/>
        <v>Sim</v>
      </c>
      <c r="U165" s="2">
        <v>40</v>
      </c>
      <c r="V165" s="2">
        <f t="shared" si="32"/>
        <v>40</v>
      </c>
      <c r="W165" s="2" t="str">
        <f t="shared" si="33"/>
        <v>alto</v>
      </c>
      <c r="X165" s="5">
        <v>5500</v>
      </c>
      <c r="Y165" t="str">
        <f t="shared" si="34"/>
        <v>Negativo</v>
      </c>
      <c r="Z165" t="str">
        <f t="shared" si="35"/>
        <v>Positivo</v>
      </c>
      <c r="AA165" s="1">
        <f>IF(AND(Y165="Negativo",Z165="Negativo"),0,IF(AND(B165="Ativo",OR(Y165="Positivo",Z165="Positivo")),X165*8%,0))</f>
        <v>440</v>
      </c>
    </row>
    <row r="166" spans="1:27">
      <c r="A166" s="2" t="s">
        <v>354</v>
      </c>
      <c r="B166" s="2" t="str">
        <f t="shared" si="24"/>
        <v>Inativo</v>
      </c>
      <c r="C166" s="2" t="s">
        <v>381</v>
      </c>
      <c r="D166" s="2" t="str">
        <f t="shared" si="25"/>
        <v>Varys Tallhart</v>
      </c>
      <c r="F166" s="2" t="str">
        <f t="shared" si="26"/>
        <v>000.000.000-00</v>
      </c>
      <c r="G166" s="2">
        <v>61</v>
      </c>
      <c r="H166" s="2">
        <f ca="1">IF(G166="", DATEDIF(J166, TODAY(), "Y"), G166)</f>
        <v>61</v>
      </c>
      <c r="I166" s="2">
        <v>23932</v>
      </c>
      <c r="J166" s="6">
        <f t="shared" si="27"/>
        <v>23932</v>
      </c>
      <c r="K166" s="2" t="s">
        <v>77</v>
      </c>
      <c r="L166" s="2" t="str" cm="1">
        <f t="array" ref="L166">_xlfn.TEXTSPLIT(K166,"|")</f>
        <v>Correrrio</v>
      </c>
      <c r="M166" s="2" t="s">
        <v>78</v>
      </c>
      <c r="N166" s="3">
        <v>4100</v>
      </c>
      <c r="O166" s="3">
        <f t="shared" si="28"/>
        <v>4100</v>
      </c>
      <c r="P166" s="4">
        <v>78000</v>
      </c>
      <c r="Q166" s="5">
        <f t="shared" si="29"/>
        <v>78000</v>
      </c>
      <c r="R166" s="2" t="s">
        <v>46</v>
      </c>
      <c r="S166" s="2" t="str">
        <f t="shared" si="30"/>
        <v>Não</v>
      </c>
      <c r="T166" s="2" t="str">
        <f t="shared" si="31"/>
        <v>Não</v>
      </c>
      <c r="U166" s="2">
        <v>25</v>
      </c>
      <c r="V166" s="2">
        <f t="shared" si="32"/>
        <v>25</v>
      </c>
      <c r="W166" s="2" t="str">
        <f t="shared" si="33"/>
        <v>médio</v>
      </c>
      <c r="X166" s="5">
        <v>48000</v>
      </c>
      <c r="Y166" t="str">
        <f t="shared" si="34"/>
        <v>Positivo</v>
      </c>
      <c r="Z166" t="str">
        <f t="shared" si="35"/>
        <v>Positivo</v>
      </c>
      <c r="AA166" s="1">
        <f>IF(AND(Y166="Negativo",Z166="Negativo"),0,IF(AND(B166="Ativo",OR(Y166="Positivo",Z166="Positivo")),X166*8%,0))</f>
        <v>0</v>
      </c>
    </row>
    <row r="167" spans="1:27">
      <c r="A167" s="2" t="s">
        <v>24</v>
      </c>
      <c r="B167" s="2" t="str">
        <f t="shared" si="24"/>
        <v>Ativo</v>
      </c>
      <c r="C167" s="2" t="s">
        <v>382</v>
      </c>
      <c r="D167" s="2" t="str">
        <f t="shared" si="25"/>
        <v>Roose Bracken</v>
      </c>
      <c r="E167" s="2">
        <v>18800</v>
      </c>
      <c r="F167" s="2" t="str">
        <f t="shared" si="26"/>
        <v>000.000.188-00</v>
      </c>
      <c r="G167" s="2">
        <v>43</v>
      </c>
      <c r="H167" s="2">
        <f ca="1">IF(G167="", DATEDIF(J167, TODAY(), "Y"), G167)</f>
        <v>43</v>
      </c>
      <c r="I167" s="2">
        <v>30355</v>
      </c>
      <c r="J167" s="6">
        <f t="shared" si="27"/>
        <v>30355</v>
      </c>
      <c r="K167" s="2" t="s">
        <v>92</v>
      </c>
      <c r="L167" s="2" t="str" cm="1">
        <f t="array" ref="L167">_xlfn.TEXTSPLIT(K167,"|")</f>
        <v>Ilha dos Ursos</v>
      </c>
      <c r="M167" s="2" t="s">
        <v>81</v>
      </c>
      <c r="N167" s="3">
        <v>21700</v>
      </c>
      <c r="O167" s="3">
        <f t="shared" si="28"/>
        <v>21700</v>
      </c>
      <c r="P167" s="4">
        <v>31000</v>
      </c>
      <c r="Q167" s="5">
        <f t="shared" si="29"/>
        <v>31000</v>
      </c>
      <c r="R167" s="2" t="s">
        <v>46</v>
      </c>
      <c r="S167" s="2" t="str">
        <f t="shared" si="30"/>
        <v>Não</v>
      </c>
      <c r="T167" s="2" t="str">
        <f t="shared" si="31"/>
        <v>Não</v>
      </c>
      <c r="U167" s="2">
        <v>27</v>
      </c>
      <c r="V167" s="2">
        <f t="shared" si="32"/>
        <v>27</v>
      </c>
      <c r="W167" s="2" t="str">
        <f t="shared" si="33"/>
        <v>alto</v>
      </c>
      <c r="X167" s="5">
        <v>45500</v>
      </c>
      <c r="Y167" t="str">
        <f t="shared" si="34"/>
        <v>Positivo</v>
      </c>
      <c r="Z167" t="str">
        <f t="shared" si="35"/>
        <v>Positivo</v>
      </c>
      <c r="AA167" s="1">
        <f>IF(AND(Y167="Negativo",Z167="Negativo"),0,IF(AND(B167="Ativo",OR(Y167="Positivo",Z167="Positivo")),X167*8%,0))</f>
        <v>3640</v>
      </c>
    </row>
    <row r="168" spans="1:27">
      <c r="A168" s="2" t="s">
        <v>24</v>
      </c>
      <c r="B168" s="2" t="str">
        <f t="shared" si="24"/>
        <v>Ativo</v>
      </c>
      <c r="C168" s="2" t="s">
        <v>383</v>
      </c>
      <c r="D168" s="2" t="str">
        <f t="shared" si="25"/>
        <v>Varys Arryn</v>
      </c>
      <c r="E168" s="2" t="s">
        <v>384</v>
      </c>
      <c r="F168" s="2" t="str">
        <f t="shared" si="26"/>
        <v>000.000.097-00</v>
      </c>
      <c r="G168" s="2">
        <v>56</v>
      </c>
      <c r="H168" s="2">
        <f ca="1">IF(G168="", DATEDIF(J168, TODAY(), "Y"), G168)</f>
        <v>56</v>
      </c>
      <c r="I168" s="6">
        <v>25808</v>
      </c>
      <c r="J168" s="6">
        <f t="shared" si="27"/>
        <v>25808</v>
      </c>
      <c r="K168" s="2" t="s">
        <v>86</v>
      </c>
      <c r="L168" s="2" t="str" cm="1">
        <f t="array" ref="L168">_xlfn.TEXTSPLIT(K168,"|")</f>
        <v>Vilavelha</v>
      </c>
      <c r="M168" s="2" t="s">
        <v>87</v>
      </c>
      <c r="N168" s="3">
        <v>5400</v>
      </c>
      <c r="O168" s="3">
        <f t="shared" si="28"/>
        <v>5400</v>
      </c>
      <c r="P168" s="4">
        <v>61000</v>
      </c>
      <c r="Q168" s="5">
        <f t="shared" si="29"/>
        <v>61000</v>
      </c>
      <c r="R168" s="2" t="s">
        <v>46</v>
      </c>
      <c r="S168" s="2" t="str">
        <f t="shared" si="30"/>
        <v>Não</v>
      </c>
      <c r="T168" s="2" t="str">
        <f t="shared" si="31"/>
        <v>Não</v>
      </c>
      <c r="U168" s="2">
        <v>12</v>
      </c>
      <c r="V168" s="2">
        <f t="shared" si="32"/>
        <v>12</v>
      </c>
      <c r="W168" s="2" t="str">
        <f t="shared" si="33"/>
        <v>médio</v>
      </c>
      <c r="X168" s="5">
        <v>96500</v>
      </c>
      <c r="Y168" t="str">
        <f t="shared" si="34"/>
        <v>Positivo</v>
      </c>
      <c r="Z168" t="str">
        <f t="shared" si="35"/>
        <v>Positivo</v>
      </c>
      <c r="AA168" s="1">
        <f>IF(AND(Y168="Negativo",Z168="Negativo"),0,IF(AND(B168="Ativo",OR(Y168="Positivo",Z168="Positivo")),X168*8%,0))</f>
        <v>7720</v>
      </c>
    </row>
    <row r="169" spans="1:27">
      <c r="A169" s="2" t="s">
        <v>50</v>
      </c>
      <c r="B169" s="2" t="str">
        <f t="shared" si="24"/>
        <v>Ativo</v>
      </c>
      <c r="C169" s="2" t="s">
        <v>385</v>
      </c>
      <c r="D169" s="2" t="str">
        <f t="shared" si="25"/>
        <v>Asha Redwyne</v>
      </c>
      <c r="E169" s="2">
        <v>10200</v>
      </c>
      <c r="F169" s="2" t="str">
        <f t="shared" si="26"/>
        <v>000.000.102-00</v>
      </c>
      <c r="G169" s="2">
        <v>35</v>
      </c>
      <c r="H169" s="2">
        <f ca="1">IF(G169="", DATEDIF(J169, TODAY(), "Y"), G169)</f>
        <v>35</v>
      </c>
      <c r="I169" s="6">
        <v>33444</v>
      </c>
      <c r="J169" s="6">
        <f t="shared" si="27"/>
        <v>33444</v>
      </c>
      <c r="K169" s="2" t="s">
        <v>36</v>
      </c>
      <c r="L169" s="2" t="str" cm="1">
        <f t="array" ref="L169">_xlfn.TEXTSPLIT(K169,"|")</f>
        <v>Pedra do Dragão</v>
      </c>
      <c r="M169" s="2" t="s">
        <v>37</v>
      </c>
      <c r="N169" s="3">
        <v>8400</v>
      </c>
      <c r="O169" s="3">
        <f t="shared" si="28"/>
        <v>8400</v>
      </c>
      <c r="P169" s="4">
        <v>62500</v>
      </c>
      <c r="Q169" s="5">
        <f t="shared" si="29"/>
        <v>62500</v>
      </c>
      <c r="R169" s="2" t="s">
        <v>46</v>
      </c>
      <c r="S169" s="2" t="str">
        <f t="shared" si="30"/>
        <v>Não</v>
      </c>
      <c r="T169" s="2" t="str">
        <f t="shared" si="31"/>
        <v>Não</v>
      </c>
      <c r="U169" s="2">
        <v>31</v>
      </c>
      <c r="V169" s="2">
        <f t="shared" si="32"/>
        <v>31</v>
      </c>
      <c r="W169" s="2" t="str">
        <f t="shared" si="33"/>
        <v>alto</v>
      </c>
      <c r="X169" s="5">
        <v>83500</v>
      </c>
      <c r="Y169" t="str">
        <f t="shared" si="34"/>
        <v>Positivo</v>
      </c>
      <c r="Z169" t="str">
        <f t="shared" si="35"/>
        <v>Positivo</v>
      </c>
      <c r="AA169" s="1">
        <f>IF(AND(Y169="Negativo",Z169="Negativo"),0,IF(AND(B169="Ativo",OR(Y169="Positivo",Z169="Positivo")),X169*8%,0))</f>
        <v>6680</v>
      </c>
    </row>
    <row r="170" spans="1:27">
      <c r="A170" s="2" t="s">
        <v>30</v>
      </c>
      <c r="B170" s="2" t="str">
        <f t="shared" si="24"/>
        <v>Inativo</v>
      </c>
      <c r="C170" s="2" t="s">
        <v>386</v>
      </c>
      <c r="D170" s="2" t="str">
        <f t="shared" si="25"/>
        <v>Beric Tallhart</v>
      </c>
      <c r="E170" s="2" t="s">
        <v>387</v>
      </c>
      <c r="F170" s="2" t="str">
        <f t="shared" si="26"/>
        <v>000.000.291-00</v>
      </c>
      <c r="G170" s="2">
        <v>44</v>
      </c>
      <c r="H170" s="2">
        <f ca="1">IF(G170="", DATEDIF(J170, TODAY(), "Y"), G170)</f>
        <v>44</v>
      </c>
      <c r="I170" s="2">
        <v>29948</v>
      </c>
      <c r="J170" s="6">
        <f t="shared" si="27"/>
        <v>29948</v>
      </c>
      <c r="K170" s="2" t="s">
        <v>121</v>
      </c>
      <c r="L170" s="2" t="str" cm="1">
        <f t="array" ref="L170">_xlfn.TEXTSPLIT(K170,"|")</f>
        <v>Dorne</v>
      </c>
      <c r="M170" s="2" t="s">
        <v>121</v>
      </c>
      <c r="O170" s="3" t="str">
        <f t="shared" si="28"/>
        <v/>
      </c>
      <c r="P170" s="4">
        <v>0</v>
      </c>
      <c r="Q170" s="5">
        <f t="shared" si="29"/>
        <v>0</v>
      </c>
      <c r="R170" s="2" t="s">
        <v>46</v>
      </c>
      <c r="S170" s="2" t="str">
        <f t="shared" si="30"/>
        <v>Não</v>
      </c>
      <c r="T170" s="2" t="str">
        <f t="shared" si="31"/>
        <v>Não</v>
      </c>
      <c r="U170" s="2">
        <v>4</v>
      </c>
      <c r="V170" s="2">
        <f t="shared" si="32"/>
        <v>4</v>
      </c>
      <c r="W170" s="2" t="str">
        <f t="shared" si="33"/>
        <v>baixo</v>
      </c>
      <c r="X170" s="5">
        <v>80000</v>
      </c>
      <c r="Y170" t="str">
        <f t="shared" si="34"/>
        <v>Positivo</v>
      </c>
      <c r="Z170" t="str">
        <f t="shared" si="35"/>
        <v>Positivo</v>
      </c>
      <c r="AA170" s="1">
        <f>IF(AND(Y170="Negativo",Z170="Negativo"),0,IF(AND(B170="Ativo",OR(Y170="Positivo",Z170="Positivo")),X170*8%,0))</f>
        <v>0</v>
      </c>
    </row>
    <row r="171" spans="1:27">
      <c r="A171" s="2" t="s">
        <v>30</v>
      </c>
      <c r="B171" s="2" t="str">
        <f t="shared" si="24"/>
        <v>Inativo</v>
      </c>
      <c r="C171" s="2" t="s">
        <v>388</v>
      </c>
      <c r="D171" s="2" t="str">
        <f t="shared" si="25"/>
        <v>Margaery Cerwyn</v>
      </c>
      <c r="E171" s="2" t="s">
        <v>389</v>
      </c>
      <c r="F171" s="2" t="str">
        <f t="shared" si="26"/>
        <v>000.000.211-00</v>
      </c>
      <c r="G171" s="2">
        <v>31</v>
      </c>
      <c r="H171" s="2">
        <f ca="1">IF(G171="", DATEDIF(J171, TODAY(), "Y"), G171)</f>
        <v>31</v>
      </c>
      <c r="I171" s="6">
        <v>34738</v>
      </c>
      <c r="J171" s="6">
        <f t="shared" si="27"/>
        <v>34738</v>
      </c>
      <c r="K171" s="2" t="s">
        <v>86</v>
      </c>
      <c r="L171" s="2" t="str" cm="1">
        <f t="array" ref="L171">_xlfn.TEXTSPLIT(K171,"|")</f>
        <v>Vilavelha</v>
      </c>
      <c r="M171" s="2" t="s">
        <v>87</v>
      </c>
      <c r="N171" s="3">
        <v>22600</v>
      </c>
      <c r="O171" s="3">
        <f t="shared" si="28"/>
        <v>22600</v>
      </c>
      <c r="P171" s="4">
        <v>58000</v>
      </c>
      <c r="Q171" s="5">
        <f t="shared" si="29"/>
        <v>58000</v>
      </c>
      <c r="R171" s="2" t="s">
        <v>128</v>
      </c>
      <c r="S171" s="2" t="str">
        <f t="shared" si="30"/>
        <v>Nao</v>
      </c>
      <c r="T171" s="2" t="str">
        <f t="shared" si="31"/>
        <v>Não</v>
      </c>
      <c r="U171" s="2">
        <v>5</v>
      </c>
      <c r="V171" s="2">
        <f t="shared" si="32"/>
        <v>5</v>
      </c>
      <c r="W171" s="2" t="str">
        <f t="shared" si="33"/>
        <v>baixo</v>
      </c>
      <c r="X171" s="5">
        <v>26500</v>
      </c>
      <c r="Y171" t="str">
        <f t="shared" si="34"/>
        <v>Positivo</v>
      </c>
      <c r="Z171" t="str">
        <f t="shared" si="35"/>
        <v>Positivo</v>
      </c>
      <c r="AA171" s="1">
        <f>IF(AND(Y171="Negativo",Z171="Negativo"),0,IF(AND(B171="Ativo",OR(Y171="Positivo",Z171="Positivo")),X171*8%,0))</f>
        <v>0</v>
      </c>
    </row>
    <row r="172" spans="1:27">
      <c r="A172" s="2" t="s">
        <v>30</v>
      </c>
      <c r="B172" s="2" t="str">
        <f t="shared" si="24"/>
        <v>Inativo</v>
      </c>
      <c r="C172" s="2" t="s">
        <v>150</v>
      </c>
      <c r="D172" s="2" t="str">
        <f t="shared" si="25"/>
        <v>Jorah Redwyne</v>
      </c>
      <c r="E172" s="2">
        <v>4000</v>
      </c>
      <c r="F172" s="2" t="str">
        <f t="shared" si="26"/>
        <v>000.000.040-00</v>
      </c>
      <c r="G172" s="2">
        <v>48</v>
      </c>
      <c r="H172" s="2">
        <f ca="1">IF(G172="", DATEDIF(J172, TODAY(), "Y"), G172)</f>
        <v>48</v>
      </c>
      <c r="I172" s="6">
        <v>28663</v>
      </c>
      <c r="J172" s="6">
        <f t="shared" si="27"/>
        <v>28663</v>
      </c>
      <c r="K172" s="2" t="s">
        <v>158</v>
      </c>
      <c r="L172" s="2" t="str" cm="1">
        <f t="array" ref="L172">_xlfn.TEXTSPLIT(K172,"|")</f>
        <v>Porto Real</v>
      </c>
      <c r="M172" s="2" t="s">
        <v>37</v>
      </c>
      <c r="N172" s="3">
        <v>24700</v>
      </c>
      <c r="O172" s="3">
        <f t="shared" si="28"/>
        <v>24700</v>
      </c>
      <c r="P172" s="4">
        <v>30500</v>
      </c>
      <c r="Q172" s="5">
        <f t="shared" si="29"/>
        <v>30500</v>
      </c>
      <c r="R172" s="2" t="s">
        <v>46</v>
      </c>
      <c r="S172" s="2" t="str">
        <f t="shared" si="30"/>
        <v>Não</v>
      </c>
      <c r="T172" s="2" t="str">
        <f t="shared" si="31"/>
        <v>Não</v>
      </c>
      <c r="U172" s="2">
        <v>34</v>
      </c>
      <c r="V172" s="2">
        <f t="shared" si="32"/>
        <v>34</v>
      </c>
      <c r="W172" s="2" t="str">
        <f t="shared" si="33"/>
        <v>alto</v>
      </c>
      <c r="X172" s="5">
        <v>87500</v>
      </c>
      <c r="Y172" t="str">
        <f t="shared" si="34"/>
        <v>Positivo</v>
      </c>
      <c r="Z172" t="str">
        <f t="shared" si="35"/>
        <v>Positivo</v>
      </c>
      <c r="AA172" s="1">
        <f>IF(AND(Y172="Negativo",Z172="Negativo"),0,IF(AND(B172="Ativo",OR(Y172="Positivo",Z172="Positivo")),X172*8%,0))</f>
        <v>0</v>
      </c>
    </row>
    <row r="173" spans="1:27">
      <c r="A173" s="2" t="s">
        <v>30</v>
      </c>
      <c r="B173" s="2" t="str">
        <f t="shared" si="24"/>
        <v>Inativo</v>
      </c>
      <c r="C173" s="2" t="s">
        <v>390</v>
      </c>
      <c r="D173" s="2" t="str">
        <f t="shared" si="25"/>
        <v>Loras Frey</v>
      </c>
      <c r="E173" s="2" t="s">
        <v>391</v>
      </c>
      <c r="F173" s="2" t="str">
        <f t="shared" si="26"/>
        <v>000.000.017-00</v>
      </c>
      <c r="G173" s="2">
        <v>30</v>
      </c>
      <c r="H173" s="2">
        <f ca="1">IF(G173="", DATEDIF(J173, TODAY(), "Y"), G173)</f>
        <v>30</v>
      </c>
      <c r="I173" s="2">
        <v>35213</v>
      </c>
      <c r="J173" s="6">
        <f t="shared" si="27"/>
        <v>35213</v>
      </c>
      <c r="K173" s="2" t="s">
        <v>263</v>
      </c>
      <c r="L173" s="2" t="str" cm="1">
        <f t="array" ref="L173:M173">_xlfn.TEXTSPLIT(K173,"|")</f>
        <v xml:space="preserve">Jardim de Cima </v>
      </c>
      <c r="M173" s="2" t="str">
        <v xml:space="preserve"> Campina</v>
      </c>
      <c r="N173" s="3">
        <v>3900</v>
      </c>
      <c r="O173" s="3">
        <f t="shared" si="28"/>
        <v>3900</v>
      </c>
      <c r="P173" s="4">
        <v>45000</v>
      </c>
      <c r="Q173" s="5">
        <f t="shared" si="29"/>
        <v>45000</v>
      </c>
      <c r="R173" s="2" t="s">
        <v>46</v>
      </c>
      <c r="S173" s="2" t="str">
        <f t="shared" si="30"/>
        <v>Não</v>
      </c>
      <c r="T173" s="2" t="str">
        <f t="shared" si="31"/>
        <v>Não</v>
      </c>
      <c r="U173" s="2">
        <v>34</v>
      </c>
      <c r="V173" s="2">
        <f t="shared" si="32"/>
        <v>34</v>
      </c>
      <c r="W173" s="2" t="str">
        <f t="shared" si="33"/>
        <v>alto</v>
      </c>
      <c r="X173" s="5">
        <v>41500</v>
      </c>
      <c r="Y173" t="str">
        <f t="shared" si="34"/>
        <v>Positivo</v>
      </c>
      <c r="Z173" t="str">
        <f t="shared" si="35"/>
        <v>Positivo</v>
      </c>
      <c r="AA173" s="1">
        <f>IF(AND(Y173="Negativo",Z173="Negativo"),0,IF(AND(B173="Ativo",OR(Y173="Positivo",Z173="Positivo")),X173*8%,0))</f>
        <v>0</v>
      </c>
    </row>
    <row r="174" spans="1:27">
      <c r="A174" s="2" t="s">
        <v>30</v>
      </c>
      <c r="B174" s="2" t="str">
        <f t="shared" si="24"/>
        <v>Inativo</v>
      </c>
      <c r="C174" s="2" t="s">
        <v>392</v>
      </c>
      <c r="D174" s="2" t="str">
        <f t="shared" si="25"/>
        <v>Bran Karstark</v>
      </c>
      <c r="E174" s="2" t="s">
        <v>393</v>
      </c>
      <c r="F174" s="2" t="str">
        <f t="shared" si="26"/>
        <v>000.000.241-00</v>
      </c>
      <c r="G174" s="2">
        <v>21</v>
      </c>
      <c r="H174" s="2">
        <f ca="1">IF(G174="", DATEDIF(J174, TODAY(), "Y"), G174)</f>
        <v>21</v>
      </c>
      <c r="I174" s="6">
        <v>38328</v>
      </c>
      <c r="J174" s="6">
        <f t="shared" si="27"/>
        <v>38328</v>
      </c>
      <c r="K174" s="2" t="s">
        <v>56</v>
      </c>
      <c r="L174" s="2" t="str" cm="1">
        <f t="array" ref="L174">_xlfn.TEXTSPLIT(K174,"|")</f>
        <v>Pyke</v>
      </c>
      <c r="M174" s="2" t="s">
        <v>194</v>
      </c>
      <c r="N174" s="3">
        <v>4400</v>
      </c>
      <c r="O174" s="3">
        <f t="shared" si="28"/>
        <v>4400</v>
      </c>
      <c r="P174" s="4">
        <v>23500</v>
      </c>
      <c r="Q174" s="5">
        <f t="shared" si="29"/>
        <v>23500</v>
      </c>
      <c r="R174" s="2" t="s">
        <v>29</v>
      </c>
      <c r="S174" s="2" t="str">
        <f t="shared" si="30"/>
        <v>Sim</v>
      </c>
      <c r="T174" s="2" t="str">
        <f t="shared" si="31"/>
        <v>Sim</v>
      </c>
      <c r="U174" s="2">
        <v>31</v>
      </c>
      <c r="V174" s="2">
        <f t="shared" si="32"/>
        <v>31</v>
      </c>
      <c r="W174" s="2" t="str">
        <f t="shared" si="33"/>
        <v>alto</v>
      </c>
      <c r="X174" s="5">
        <v>91000</v>
      </c>
      <c r="Y174" t="str">
        <f t="shared" si="34"/>
        <v>Negativo</v>
      </c>
      <c r="Z174" t="str">
        <f t="shared" si="35"/>
        <v>Positivo</v>
      </c>
      <c r="AA174" s="1">
        <f>IF(AND(Y174="Negativo",Z174="Negativo"),0,IF(AND(B174="Ativo",OR(Y174="Positivo",Z174="Positivo")),X174*8%,0))</f>
        <v>0</v>
      </c>
    </row>
    <row r="175" spans="1:27">
      <c r="A175" s="2" t="s">
        <v>24</v>
      </c>
      <c r="B175" s="2" t="str">
        <f t="shared" si="24"/>
        <v>Ativo</v>
      </c>
      <c r="C175" s="2" t="s">
        <v>394</v>
      </c>
      <c r="D175" s="2" t="str">
        <f t="shared" si="25"/>
        <v>Robert Cerwyn</v>
      </c>
      <c r="E175" s="2">
        <v>30000</v>
      </c>
      <c r="F175" s="2" t="str">
        <f t="shared" si="26"/>
        <v>000.000.300-00</v>
      </c>
      <c r="G175" s="2">
        <v>48</v>
      </c>
      <c r="H175" s="2">
        <f ca="1">IF(G175="", DATEDIF(J175, TODAY(), "Y"), G175)</f>
        <v>48</v>
      </c>
      <c r="I175" s="2">
        <v>28509</v>
      </c>
      <c r="J175" s="6">
        <f t="shared" si="27"/>
        <v>28509</v>
      </c>
      <c r="K175" s="2" t="s">
        <v>106</v>
      </c>
      <c r="L175" s="2" t="str" cm="1">
        <f t="array" ref="L175">_xlfn.TEXTSPLIT(K175,"|")</f>
        <v>Harrenhal</v>
      </c>
      <c r="M175" s="2" t="s">
        <v>84</v>
      </c>
      <c r="N175" s="3">
        <v>17800</v>
      </c>
      <c r="O175" s="3">
        <f t="shared" si="28"/>
        <v>17800</v>
      </c>
      <c r="P175" s="4">
        <v>9000</v>
      </c>
      <c r="Q175" s="5">
        <f t="shared" si="29"/>
        <v>9000</v>
      </c>
      <c r="R175" s="2">
        <v>0</v>
      </c>
      <c r="S175" s="2" t="str">
        <f t="shared" si="30"/>
        <v>não</v>
      </c>
      <c r="T175" s="2" t="str">
        <f t="shared" si="31"/>
        <v>Não</v>
      </c>
      <c r="U175" s="2">
        <v>28</v>
      </c>
      <c r="V175" s="2">
        <f t="shared" si="32"/>
        <v>28</v>
      </c>
      <c r="W175" s="2" t="str">
        <f t="shared" si="33"/>
        <v>alto</v>
      </c>
      <c r="X175" s="5">
        <v>80000</v>
      </c>
      <c r="Y175" t="str">
        <f t="shared" si="34"/>
        <v>Positivo</v>
      </c>
      <c r="Z175" t="str">
        <f t="shared" si="35"/>
        <v>Positivo</v>
      </c>
      <c r="AA175" s="1">
        <f>IF(AND(Y175="Negativo",Z175="Negativo"),0,IF(AND(B175="Ativo",OR(Y175="Positivo",Z175="Positivo")),X175*8%,0))</f>
        <v>6400</v>
      </c>
    </row>
    <row r="176" spans="1:27">
      <c r="A176" s="2" t="s">
        <v>24</v>
      </c>
      <c r="B176" s="2" t="str">
        <f t="shared" si="24"/>
        <v>Ativo</v>
      </c>
      <c r="C176" s="2" t="s">
        <v>395</v>
      </c>
      <c r="D176" s="2" t="str">
        <f t="shared" si="25"/>
        <v>Thoros Yronwood</v>
      </c>
      <c r="E176" s="2" t="s">
        <v>396</v>
      </c>
      <c r="F176" s="2" t="str">
        <f t="shared" si="26"/>
        <v>000.000.201-00</v>
      </c>
      <c r="H176" s="2">
        <f ca="1">IF(G176="", DATEDIF(J176, TODAY(), "Y"), G176)</f>
        <v>55</v>
      </c>
      <c r="I176" s="2">
        <v>25925</v>
      </c>
      <c r="J176" s="6">
        <f t="shared" si="27"/>
        <v>25925</v>
      </c>
      <c r="K176" s="2" t="s">
        <v>56</v>
      </c>
      <c r="L176" s="2" t="str" cm="1">
        <f t="array" ref="L176">_xlfn.TEXTSPLIT(K176,"|")</f>
        <v>Pyke</v>
      </c>
      <c r="M176" s="2" t="s">
        <v>194</v>
      </c>
      <c r="N176" s="3">
        <v>20200</v>
      </c>
      <c r="O176" s="3">
        <f t="shared" si="28"/>
        <v>20200</v>
      </c>
      <c r="P176" s="4">
        <v>61000</v>
      </c>
      <c r="Q176" s="5">
        <f t="shared" si="29"/>
        <v>61000</v>
      </c>
      <c r="R176" s="2" t="s">
        <v>46</v>
      </c>
      <c r="S176" s="2" t="str">
        <f t="shared" si="30"/>
        <v>Não</v>
      </c>
      <c r="T176" s="2" t="str">
        <f t="shared" si="31"/>
        <v>Não</v>
      </c>
      <c r="U176" s="2">
        <v>10</v>
      </c>
      <c r="V176" s="2">
        <f t="shared" si="32"/>
        <v>10</v>
      </c>
      <c r="W176" s="2" t="str">
        <f t="shared" si="33"/>
        <v>baixo</v>
      </c>
      <c r="X176" s="5">
        <v>6500</v>
      </c>
      <c r="Y176" t="str">
        <f t="shared" si="34"/>
        <v>Positivo</v>
      </c>
      <c r="Z176" t="str">
        <f t="shared" si="35"/>
        <v>Positivo</v>
      </c>
      <c r="AA176" s="1">
        <f>IF(AND(Y176="Negativo",Z176="Negativo"),0,IF(AND(B176="Ativo",OR(Y176="Positivo",Z176="Positivo")),X176*8%,0))</f>
        <v>520</v>
      </c>
    </row>
    <row r="177" spans="1:27">
      <c r="B177" s="2" t="str">
        <f t="shared" si="24"/>
        <v>Inativo</v>
      </c>
      <c r="C177" s="2" t="s">
        <v>397</v>
      </c>
      <c r="D177" s="2" t="str">
        <f t="shared" si="25"/>
        <v>Bronn Umber</v>
      </c>
      <c r="E177" s="2" t="s">
        <v>398</v>
      </c>
      <c r="F177" s="2" t="str">
        <f t="shared" si="26"/>
        <v>000.000.177-00</v>
      </c>
      <c r="G177" s="2">
        <v>56</v>
      </c>
      <c r="H177" s="2">
        <f ca="1">IF(G177="", DATEDIF(J177, TODAY(), "Y"), G177)</f>
        <v>56</v>
      </c>
      <c r="I177" s="6">
        <v>25705</v>
      </c>
      <c r="J177" s="6">
        <f t="shared" si="27"/>
        <v>25705</v>
      </c>
      <c r="K177" s="2" t="s">
        <v>158</v>
      </c>
      <c r="L177" s="2" t="str" cm="1">
        <f t="array" ref="L177">_xlfn.TEXTSPLIT(K177,"|")</f>
        <v>Porto Real</v>
      </c>
      <c r="M177" s="2" t="s">
        <v>37</v>
      </c>
      <c r="N177" s="3">
        <v>11100</v>
      </c>
      <c r="O177" s="3">
        <f t="shared" si="28"/>
        <v>11100</v>
      </c>
      <c r="P177" s="4">
        <v>13000</v>
      </c>
      <c r="Q177" s="5">
        <f t="shared" si="29"/>
        <v>13000</v>
      </c>
      <c r="R177" s="2" t="s">
        <v>46</v>
      </c>
      <c r="S177" s="2" t="str">
        <f t="shared" si="30"/>
        <v>Não</v>
      </c>
      <c r="T177" s="2" t="str">
        <f t="shared" si="31"/>
        <v>Não</v>
      </c>
      <c r="U177" s="2">
        <v>38</v>
      </c>
      <c r="V177" s="2">
        <f t="shared" si="32"/>
        <v>38</v>
      </c>
      <c r="W177" s="2" t="str">
        <f t="shared" si="33"/>
        <v>alto</v>
      </c>
      <c r="X177" s="5">
        <v>88000</v>
      </c>
      <c r="Y177" t="str">
        <f t="shared" si="34"/>
        <v>Positivo</v>
      </c>
      <c r="Z177" t="str">
        <f t="shared" si="35"/>
        <v>Positivo</v>
      </c>
      <c r="AA177" s="1">
        <f>IF(AND(Y177="Negativo",Z177="Negativo"),0,IF(AND(B177="Ativo",OR(Y177="Positivo",Z177="Positivo")),X177*8%,0))</f>
        <v>0</v>
      </c>
    </row>
    <row r="178" spans="1:27">
      <c r="A178" s="2" t="s">
        <v>24</v>
      </c>
      <c r="B178" s="2" t="str">
        <f t="shared" si="24"/>
        <v>Ativo</v>
      </c>
      <c r="C178" s="2" t="s">
        <v>399</v>
      </c>
      <c r="D178" s="2" t="str">
        <f t="shared" si="25"/>
        <v>Brienne Dayne</v>
      </c>
      <c r="E178" s="2" t="s">
        <v>400</v>
      </c>
      <c r="F178" s="2" t="str">
        <f t="shared" si="26"/>
        <v>000.000.070-00</v>
      </c>
      <c r="G178" s="2">
        <v>62</v>
      </c>
      <c r="H178" s="2">
        <f ca="1">IF(G178="", DATEDIF(J178, TODAY(), "Y"), G178)</f>
        <v>62</v>
      </c>
      <c r="I178" s="6">
        <v>23337</v>
      </c>
      <c r="J178" s="6">
        <f t="shared" si="27"/>
        <v>23337</v>
      </c>
      <c r="K178" s="2" t="s">
        <v>36</v>
      </c>
      <c r="L178" s="2" t="str" cm="1">
        <f t="array" ref="L178">_xlfn.TEXTSPLIT(K178,"|")</f>
        <v>Pedra do Dragão</v>
      </c>
      <c r="M178" s="2" t="s">
        <v>37</v>
      </c>
      <c r="N178" s="3">
        <v>11900</v>
      </c>
      <c r="O178" s="3">
        <f t="shared" si="28"/>
        <v>11900</v>
      </c>
      <c r="P178" s="4">
        <v>58500</v>
      </c>
      <c r="Q178" s="5">
        <f t="shared" si="29"/>
        <v>58500</v>
      </c>
      <c r="R178" s="2" t="s">
        <v>46</v>
      </c>
      <c r="S178" s="2" t="str">
        <f t="shared" si="30"/>
        <v>Não</v>
      </c>
      <c r="T178" s="2" t="str">
        <f t="shared" si="31"/>
        <v>Não</v>
      </c>
      <c r="U178" s="2">
        <v>37</v>
      </c>
      <c r="V178" s="2">
        <f t="shared" si="32"/>
        <v>37</v>
      </c>
      <c r="W178" s="2" t="str">
        <f t="shared" si="33"/>
        <v>alto</v>
      </c>
      <c r="X178" s="5">
        <v>48000</v>
      </c>
      <c r="Y178" t="str">
        <f t="shared" si="34"/>
        <v>Positivo</v>
      </c>
      <c r="Z178" t="str">
        <f t="shared" si="35"/>
        <v>Positivo</v>
      </c>
      <c r="AA178" s="1">
        <f>IF(AND(Y178="Negativo",Z178="Negativo"),0,IF(AND(B178="Ativo",OR(Y178="Positivo",Z178="Positivo")),X178*8%,0))</f>
        <v>3840</v>
      </c>
    </row>
    <row r="179" spans="1:27">
      <c r="A179" s="2" t="s">
        <v>24</v>
      </c>
      <c r="B179" s="2" t="str">
        <f t="shared" si="24"/>
        <v>Ativo</v>
      </c>
      <c r="C179" s="2" t="s">
        <v>401</v>
      </c>
      <c r="D179" s="2" t="str">
        <f t="shared" si="25"/>
        <v>Bronn Bolton</v>
      </c>
      <c r="E179" s="2" t="s">
        <v>402</v>
      </c>
      <c r="F179" s="2" t="str">
        <f t="shared" si="26"/>
        <v>000.000.143-00</v>
      </c>
      <c r="G179" s="2">
        <v>26</v>
      </c>
      <c r="H179" s="2">
        <f ca="1">IF(G179="", DATEDIF(J179, TODAY(), "Y"), G179)</f>
        <v>26</v>
      </c>
      <c r="I179" s="2">
        <v>36619</v>
      </c>
      <c r="J179" s="6">
        <f t="shared" si="27"/>
        <v>36619</v>
      </c>
      <c r="K179" s="2" t="s">
        <v>106</v>
      </c>
      <c r="L179" s="2" t="str" cm="1">
        <f t="array" ref="L179">_xlfn.TEXTSPLIT(K179,"|")</f>
        <v>Harrenhal</v>
      </c>
      <c r="M179" s="2" t="s">
        <v>78</v>
      </c>
      <c r="N179" s="3">
        <v>26800</v>
      </c>
      <c r="O179" s="3">
        <f t="shared" si="28"/>
        <v>26800</v>
      </c>
      <c r="P179" s="4">
        <v>42500</v>
      </c>
      <c r="Q179" s="5">
        <f t="shared" si="29"/>
        <v>42500</v>
      </c>
      <c r="R179" s="2" t="s">
        <v>29</v>
      </c>
      <c r="S179" s="2" t="str">
        <f t="shared" si="30"/>
        <v>Sim</v>
      </c>
      <c r="T179" s="2" t="str">
        <f t="shared" si="31"/>
        <v>Sim</v>
      </c>
      <c r="U179" s="2">
        <v>29</v>
      </c>
      <c r="V179" s="2">
        <f t="shared" si="32"/>
        <v>29</v>
      </c>
      <c r="W179" s="2" t="str">
        <f t="shared" si="33"/>
        <v>alto</v>
      </c>
      <c r="X179" s="5">
        <v>66000</v>
      </c>
      <c r="Y179" t="str">
        <f t="shared" si="34"/>
        <v>Negativo</v>
      </c>
      <c r="Z179" t="str">
        <f t="shared" si="35"/>
        <v>Positivo</v>
      </c>
      <c r="AA179" s="1">
        <f>IF(AND(Y179="Negativo",Z179="Negativo"),0,IF(AND(B179="Ativo",OR(Y179="Positivo",Z179="Positivo")),X179*8%,0))</f>
        <v>5280</v>
      </c>
    </row>
    <row r="180" spans="1:27">
      <c r="A180" s="2" t="s">
        <v>24</v>
      </c>
      <c r="B180" s="2" t="str">
        <f t="shared" si="24"/>
        <v>Ativo</v>
      </c>
      <c r="C180" s="2" t="s">
        <v>403</v>
      </c>
      <c r="D180" s="2" t="str">
        <f t="shared" si="25"/>
        <v>Rhaegar Hornwood</v>
      </c>
      <c r="E180" s="2" t="s">
        <v>404</v>
      </c>
      <c r="F180" s="2" t="str">
        <f t="shared" si="26"/>
        <v>000.000.178-00</v>
      </c>
      <c r="G180" s="2">
        <v>30</v>
      </c>
      <c r="H180" s="2">
        <f ca="1">IF(G180="", DATEDIF(J180, TODAY(), "Y"), G180)</f>
        <v>30</v>
      </c>
      <c r="I180" s="6">
        <v>35109</v>
      </c>
      <c r="J180" s="6">
        <f t="shared" si="27"/>
        <v>35109</v>
      </c>
      <c r="K180" s="2" t="s">
        <v>32</v>
      </c>
      <c r="L180" s="2" t="str" cm="1">
        <f t="array" ref="L180">_xlfn.TEXTSPLIT(K180,"|")</f>
        <v>Ponta Tempestade</v>
      </c>
      <c r="M180" s="2" t="s">
        <v>74</v>
      </c>
      <c r="N180" s="3">
        <v>2600</v>
      </c>
      <c r="O180" s="3">
        <f t="shared" si="28"/>
        <v>2600</v>
      </c>
      <c r="P180" s="4">
        <v>62000</v>
      </c>
      <c r="Q180" s="5">
        <f t="shared" si="29"/>
        <v>62000</v>
      </c>
      <c r="R180" s="2" t="s">
        <v>46</v>
      </c>
      <c r="S180" s="2" t="str">
        <f t="shared" si="30"/>
        <v>Não</v>
      </c>
      <c r="T180" s="2" t="str">
        <f t="shared" si="31"/>
        <v>Não</v>
      </c>
      <c r="U180" s="2">
        <v>22</v>
      </c>
      <c r="V180" s="2">
        <f t="shared" si="32"/>
        <v>22</v>
      </c>
      <c r="W180" s="2" t="str">
        <f t="shared" si="33"/>
        <v>médio</v>
      </c>
      <c r="X180" s="5">
        <v>62000</v>
      </c>
      <c r="Y180" t="str">
        <f t="shared" si="34"/>
        <v>Positivo</v>
      </c>
      <c r="Z180" t="str">
        <f t="shared" si="35"/>
        <v>Positivo</v>
      </c>
      <c r="AA180" s="1">
        <f>IF(AND(Y180="Negativo",Z180="Negativo"),0,IF(AND(B180="Ativo",OR(Y180="Positivo",Z180="Positivo")),X180*8%,0))</f>
        <v>4960</v>
      </c>
    </row>
    <row r="181" spans="1:27">
      <c r="A181" s="2" t="s">
        <v>24</v>
      </c>
      <c r="B181" s="2" t="str">
        <f t="shared" si="24"/>
        <v>Ativo</v>
      </c>
      <c r="C181" s="2" t="s">
        <v>405</v>
      </c>
      <c r="D181" s="2" t="str">
        <f t="shared" si="25"/>
        <v>Meera Tarly</v>
      </c>
      <c r="E181" s="2" t="s">
        <v>406</v>
      </c>
      <c r="F181" s="2" t="str">
        <f t="shared" si="26"/>
        <v>000.000.326-00</v>
      </c>
      <c r="H181" s="2">
        <f ca="1">IF(G181="", DATEDIF(J181, TODAY(), "Y"), G181)</f>
        <v>74</v>
      </c>
      <c r="I181" s="6">
        <v>19168</v>
      </c>
      <c r="J181" s="6">
        <f t="shared" si="27"/>
        <v>19168</v>
      </c>
      <c r="K181" s="2" t="s">
        <v>56</v>
      </c>
      <c r="L181" s="2" t="str" cm="1">
        <f t="array" ref="L181">_xlfn.TEXTSPLIT(K181,"|")</f>
        <v>Pyke</v>
      </c>
      <c r="M181" s="2" t="s">
        <v>72</v>
      </c>
      <c r="N181" s="3">
        <v>25000</v>
      </c>
      <c r="O181" s="3">
        <f t="shared" si="28"/>
        <v>25000</v>
      </c>
      <c r="P181" s="4">
        <v>0</v>
      </c>
      <c r="Q181" s="5">
        <f t="shared" si="29"/>
        <v>0</v>
      </c>
      <c r="R181" s="2" t="s">
        <v>46</v>
      </c>
      <c r="S181" s="2" t="str">
        <f t="shared" si="30"/>
        <v>Não</v>
      </c>
      <c r="T181" s="2" t="str">
        <f t="shared" si="31"/>
        <v>Não</v>
      </c>
      <c r="U181" s="2">
        <v>3</v>
      </c>
      <c r="V181" s="2">
        <f t="shared" si="32"/>
        <v>3</v>
      </c>
      <c r="W181" s="2" t="str">
        <f t="shared" si="33"/>
        <v>baixo</v>
      </c>
      <c r="X181" s="5">
        <v>2500</v>
      </c>
      <c r="Y181" t="str">
        <f t="shared" si="34"/>
        <v>Positivo</v>
      </c>
      <c r="Z181" t="str">
        <f t="shared" si="35"/>
        <v>Positivo</v>
      </c>
      <c r="AA181" s="1">
        <f>IF(AND(Y181="Negativo",Z181="Negativo"),0,IF(AND(B181="Ativo",OR(Y181="Positivo",Z181="Positivo")),X181*8%,0))</f>
        <v>200</v>
      </c>
    </row>
    <row r="182" spans="1:27">
      <c r="A182" s="2" t="s">
        <v>30</v>
      </c>
      <c r="B182" s="2" t="str">
        <f t="shared" si="24"/>
        <v>Inativo</v>
      </c>
      <c r="C182" s="2" t="s">
        <v>407</v>
      </c>
      <c r="D182" s="2" t="str">
        <f t="shared" si="25"/>
        <v>Thoros Hornwood</v>
      </c>
      <c r="E182" s="2" t="s">
        <v>408</v>
      </c>
      <c r="F182" s="2" t="str">
        <f t="shared" si="26"/>
        <v>000.000.245-00</v>
      </c>
      <c r="G182" s="2">
        <v>65</v>
      </c>
      <c r="H182" s="2">
        <f ca="1">IF(G182="", DATEDIF(J182, TODAY(), "Y"), G182)</f>
        <v>65</v>
      </c>
      <c r="I182" s="2">
        <v>22205</v>
      </c>
      <c r="J182" s="6">
        <f t="shared" si="27"/>
        <v>22205</v>
      </c>
      <c r="K182" s="2" t="s">
        <v>80</v>
      </c>
      <c r="L182" s="2" t="str" cm="1">
        <f t="array" ref="L182">_xlfn.TEXTSPLIT(K182,"|")</f>
        <v>Castelo Negro</v>
      </c>
      <c r="M182" s="2" t="s">
        <v>81</v>
      </c>
      <c r="N182" s="3">
        <v>19800</v>
      </c>
      <c r="O182" s="3">
        <f t="shared" si="28"/>
        <v>19800</v>
      </c>
      <c r="P182" s="4">
        <v>78500</v>
      </c>
      <c r="Q182" s="5">
        <f t="shared" si="29"/>
        <v>78500</v>
      </c>
      <c r="R182" s="2" t="s">
        <v>46</v>
      </c>
      <c r="S182" s="2" t="str">
        <f t="shared" si="30"/>
        <v>Não</v>
      </c>
      <c r="T182" s="2" t="str">
        <f t="shared" si="31"/>
        <v>Não</v>
      </c>
      <c r="U182" s="2">
        <v>34</v>
      </c>
      <c r="V182" s="2">
        <f t="shared" si="32"/>
        <v>34</v>
      </c>
      <c r="W182" s="2" t="str">
        <f t="shared" si="33"/>
        <v>alto</v>
      </c>
      <c r="X182" s="5">
        <v>23000</v>
      </c>
      <c r="Y182" t="str">
        <f t="shared" si="34"/>
        <v>Positivo</v>
      </c>
      <c r="Z182" t="str">
        <f t="shared" si="35"/>
        <v>Positivo</v>
      </c>
      <c r="AA182" s="1">
        <f>IF(AND(Y182="Negativo",Z182="Negativo"),0,IF(AND(B182="Ativo",OR(Y182="Positivo",Z182="Positivo")),X182*8%,0))</f>
        <v>0</v>
      </c>
    </row>
    <row r="183" spans="1:27">
      <c r="A183" s="2" t="s">
        <v>30</v>
      </c>
      <c r="B183" s="2" t="str">
        <f t="shared" si="24"/>
        <v>Inativo</v>
      </c>
      <c r="C183" s="2" t="s">
        <v>409</v>
      </c>
      <c r="D183" s="2" t="str">
        <f t="shared" si="25"/>
        <v>Jeor Martell</v>
      </c>
      <c r="E183" s="2" t="s">
        <v>410</v>
      </c>
      <c r="F183" s="2" t="str">
        <f t="shared" si="26"/>
        <v>000.000.061-00</v>
      </c>
      <c r="G183" s="2">
        <v>58</v>
      </c>
      <c r="H183" s="2">
        <f ca="1">IF(G183="", DATEDIF(J183, TODAY(), "Y"), G183)</f>
        <v>58</v>
      </c>
      <c r="I183" s="6">
        <v>24726</v>
      </c>
      <c r="J183" s="6">
        <f t="shared" si="27"/>
        <v>24726</v>
      </c>
      <c r="K183" s="2" t="s">
        <v>63</v>
      </c>
      <c r="L183" s="2" t="str" cm="1">
        <f t="array" ref="L183">_xlfn.TEXTSPLIT(K183,"|")</f>
        <v>Meereen</v>
      </c>
      <c r="M183" s="2" t="s">
        <v>64</v>
      </c>
      <c r="N183" s="3">
        <v>20100</v>
      </c>
      <c r="O183" s="3">
        <f t="shared" si="28"/>
        <v>20100</v>
      </c>
      <c r="P183" s="4">
        <v>40000</v>
      </c>
      <c r="Q183" s="5">
        <f t="shared" si="29"/>
        <v>40000</v>
      </c>
      <c r="R183" s="2" t="s">
        <v>46</v>
      </c>
      <c r="S183" s="2" t="str">
        <f t="shared" si="30"/>
        <v>Não</v>
      </c>
      <c r="T183" s="2" t="str">
        <f t="shared" si="31"/>
        <v>Não</v>
      </c>
      <c r="U183" s="2">
        <v>16</v>
      </c>
      <c r="V183" s="2">
        <f t="shared" si="32"/>
        <v>16</v>
      </c>
      <c r="W183" s="2" t="str">
        <f t="shared" si="33"/>
        <v>médio</v>
      </c>
      <c r="X183" s="5">
        <v>98500</v>
      </c>
      <c r="Y183" t="str">
        <f t="shared" si="34"/>
        <v>Positivo</v>
      </c>
      <c r="Z183" t="str">
        <f t="shared" si="35"/>
        <v>Positivo</v>
      </c>
      <c r="AA183" s="1">
        <f>IF(AND(Y183="Negativo",Z183="Negativo"),0,IF(AND(B183="Ativo",OR(Y183="Positivo",Z183="Positivo")),X183*8%,0))</f>
        <v>0</v>
      </c>
    </row>
    <row r="184" spans="1:27">
      <c r="A184" s="2" t="s">
        <v>24</v>
      </c>
      <c r="B184" s="2" t="str">
        <f t="shared" si="24"/>
        <v>Ativo</v>
      </c>
      <c r="C184" s="2" t="s">
        <v>411</v>
      </c>
      <c r="D184" s="2" t="str">
        <f t="shared" si="25"/>
        <v>Lyanna Stark</v>
      </c>
      <c r="E184" s="2" t="s">
        <v>412</v>
      </c>
      <c r="F184" s="2" t="str">
        <f t="shared" si="26"/>
        <v>000.000.023-00</v>
      </c>
      <c r="G184" s="2">
        <v>45</v>
      </c>
      <c r="H184" s="2">
        <f ca="1">IF(G184="", DATEDIF(J184, TODAY(), "Y"), G184)</f>
        <v>45</v>
      </c>
      <c r="I184" s="2">
        <v>29769</v>
      </c>
      <c r="J184" s="6">
        <f t="shared" si="27"/>
        <v>29769</v>
      </c>
      <c r="K184" s="2" t="s">
        <v>32</v>
      </c>
      <c r="L184" s="2" t="str" cm="1">
        <f t="array" ref="L184">_xlfn.TEXTSPLIT(K184,"|")</f>
        <v>Ponta Tempestade</v>
      </c>
      <c r="M184" s="2" t="s">
        <v>125</v>
      </c>
      <c r="N184" s="3">
        <v>24400</v>
      </c>
      <c r="O184" s="3">
        <f t="shared" si="28"/>
        <v>24400</v>
      </c>
      <c r="P184" s="4">
        <v>7500</v>
      </c>
      <c r="Q184" s="5">
        <f t="shared" si="29"/>
        <v>7500</v>
      </c>
      <c r="R184" s="2" t="s">
        <v>128</v>
      </c>
      <c r="S184" s="2" t="str">
        <f t="shared" si="30"/>
        <v>Nao</v>
      </c>
      <c r="T184" s="2" t="str">
        <f t="shared" si="31"/>
        <v>Não</v>
      </c>
      <c r="U184" s="2">
        <v>13</v>
      </c>
      <c r="V184" s="2">
        <f t="shared" si="32"/>
        <v>13</v>
      </c>
      <c r="W184" s="2" t="str">
        <f t="shared" si="33"/>
        <v>médio</v>
      </c>
      <c r="X184" s="5">
        <v>95000</v>
      </c>
      <c r="Y184" t="str">
        <f t="shared" si="34"/>
        <v>Positivo</v>
      </c>
      <c r="Z184" t="str">
        <f t="shared" si="35"/>
        <v>Positivo</v>
      </c>
      <c r="AA184" s="1">
        <f>IF(AND(Y184="Negativo",Z184="Negativo"),0,IF(AND(B184="Ativo",OR(Y184="Positivo",Z184="Positivo")),X184*8%,0))</f>
        <v>7600</v>
      </c>
    </row>
    <row r="185" spans="1:27">
      <c r="A185" s="2" t="s">
        <v>24</v>
      </c>
      <c r="B185" s="2" t="str">
        <f t="shared" si="24"/>
        <v>Ativo</v>
      </c>
      <c r="C185" s="2" t="s">
        <v>413</v>
      </c>
      <c r="D185" s="2" t="str">
        <f t="shared" si="25"/>
        <v>Rhaegar Tallhart</v>
      </c>
      <c r="E185" s="2">
        <v>34800</v>
      </c>
      <c r="F185" s="2" t="str">
        <f t="shared" si="26"/>
        <v>000.000.348-00</v>
      </c>
      <c r="G185" s="2">
        <v>26</v>
      </c>
      <c r="H185" s="2">
        <f ca="1">IF(G185="", DATEDIF(J185, TODAY(), "Y"), G185)</f>
        <v>26</v>
      </c>
      <c r="I185" s="2">
        <v>36596</v>
      </c>
      <c r="J185" s="6">
        <f t="shared" si="27"/>
        <v>36596</v>
      </c>
      <c r="K185" s="2" t="s">
        <v>92</v>
      </c>
      <c r="L185" s="2" t="str" cm="1">
        <f t="array" ref="L185">_xlfn.TEXTSPLIT(K185,"|")</f>
        <v>Ilha dos Ursos</v>
      </c>
      <c r="M185" s="2" t="s">
        <v>114</v>
      </c>
      <c r="N185" s="3">
        <v>3500</v>
      </c>
      <c r="O185" s="3">
        <f t="shared" si="28"/>
        <v>3500</v>
      </c>
      <c r="P185" s="4">
        <v>50000</v>
      </c>
      <c r="Q185" s="5">
        <f t="shared" si="29"/>
        <v>50000</v>
      </c>
      <c r="R185" s="2">
        <v>0</v>
      </c>
      <c r="S185" s="2" t="str">
        <f t="shared" si="30"/>
        <v>não</v>
      </c>
      <c r="T185" s="2" t="str">
        <f t="shared" si="31"/>
        <v>Não</v>
      </c>
      <c r="U185" s="2">
        <v>40</v>
      </c>
      <c r="V185" s="2">
        <f t="shared" si="32"/>
        <v>40</v>
      </c>
      <c r="W185" s="2" t="str">
        <f t="shared" si="33"/>
        <v>alto</v>
      </c>
      <c r="X185" s="5">
        <v>46500</v>
      </c>
      <c r="Y185" t="str">
        <f t="shared" si="34"/>
        <v>Positivo</v>
      </c>
      <c r="Z185" t="str">
        <f t="shared" si="35"/>
        <v>Positivo</v>
      </c>
      <c r="AA185" s="1">
        <f>IF(AND(Y185="Negativo",Z185="Negativo"),0,IF(AND(B185="Ativo",OR(Y185="Positivo",Z185="Positivo")),X185*8%,0))</f>
        <v>3720</v>
      </c>
    </row>
    <row r="186" spans="1:27">
      <c r="A186" s="2" t="s">
        <v>24</v>
      </c>
      <c r="B186" s="2" t="str">
        <f t="shared" si="24"/>
        <v>Ativo</v>
      </c>
      <c r="C186" s="2" t="s">
        <v>414</v>
      </c>
      <c r="D186" s="2" t="str">
        <f t="shared" si="25"/>
        <v>Petyr Greyjoy</v>
      </c>
      <c r="E186" s="2" t="s">
        <v>415</v>
      </c>
      <c r="F186" s="2" t="str">
        <f t="shared" si="26"/>
        <v>000.000.301-00</v>
      </c>
      <c r="G186" s="2">
        <v>42</v>
      </c>
      <c r="H186" s="2">
        <f ca="1">IF(G186="", DATEDIF(J186, TODAY(), "Y"), G186)</f>
        <v>42</v>
      </c>
      <c r="I186" s="2">
        <v>30898</v>
      </c>
      <c r="J186" s="6">
        <f t="shared" si="27"/>
        <v>30898</v>
      </c>
      <c r="K186" s="2" t="s">
        <v>49</v>
      </c>
      <c r="L186" s="2" t="str" cm="1">
        <f t="array" ref="L186">_xlfn.TEXTSPLIT(K186,"|")</f>
        <v>Lannisporto</v>
      </c>
      <c r="N186" s="3">
        <v>20800</v>
      </c>
      <c r="O186" s="3">
        <f t="shared" si="28"/>
        <v>20800</v>
      </c>
      <c r="P186" s="4">
        <v>54000</v>
      </c>
      <c r="Q186" s="5">
        <f t="shared" si="29"/>
        <v>54000</v>
      </c>
      <c r="R186" s="2" t="s">
        <v>46</v>
      </c>
      <c r="S186" s="2" t="str">
        <f t="shared" si="30"/>
        <v>Não</v>
      </c>
      <c r="T186" s="2" t="str">
        <f t="shared" si="31"/>
        <v>Não</v>
      </c>
      <c r="U186" s="2">
        <v>4</v>
      </c>
      <c r="V186" s="2">
        <f t="shared" si="32"/>
        <v>4</v>
      </c>
      <c r="W186" s="2" t="str">
        <f t="shared" si="33"/>
        <v>baixo</v>
      </c>
      <c r="X186" s="5">
        <v>73500</v>
      </c>
      <c r="Y186" t="str">
        <f t="shared" si="34"/>
        <v>Positivo</v>
      </c>
      <c r="Z186" t="str">
        <f t="shared" si="35"/>
        <v>Positivo</v>
      </c>
      <c r="AA186" s="1">
        <f>IF(AND(Y186="Negativo",Z186="Negativo"),0,IF(AND(B186="Ativo",OR(Y186="Positivo",Z186="Positivo")),X186*8%,0))</f>
        <v>5880</v>
      </c>
    </row>
    <row r="187" spans="1:27">
      <c r="A187" s="2" t="s">
        <v>30</v>
      </c>
      <c r="B187" s="2" t="str">
        <f t="shared" si="24"/>
        <v>Inativo</v>
      </c>
      <c r="C187" s="2" t="s">
        <v>416</v>
      </c>
      <c r="D187" s="2" t="str">
        <f t="shared" si="25"/>
        <v>Renly Redwyne</v>
      </c>
      <c r="E187" s="2" t="s">
        <v>417</v>
      </c>
      <c r="F187" s="2" t="str">
        <f t="shared" si="26"/>
        <v>000.000.045-00</v>
      </c>
      <c r="G187" s="2">
        <v>66</v>
      </c>
      <c r="H187" s="2">
        <f ca="1">IF(G187="", DATEDIF(J187, TODAY(), "Y"), G187)</f>
        <v>66</v>
      </c>
      <c r="I187" s="6">
        <v>21954</v>
      </c>
      <c r="J187" s="6">
        <f t="shared" si="27"/>
        <v>21954</v>
      </c>
      <c r="K187" s="2" t="s">
        <v>158</v>
      </c>
      <c r="L187" s="2" t="str" cm="1">
        <f t="array" ref="L187">_xlfn.TEXTSPLIT(K187,"|")</f>
        <v>Porto Real</v>
      </c>
      <c r="M187" s="2" t="s">
        <v>103</v>
      </c>
      <c r="N187" s="3">
        <v>3400</v>
      </c>
      <c r="O187" s="3">
        <f t="shared" si="28"/>
        <v>3400</v>
      </c>
      <c r="P187" s="4">
        <v>78000</v>
      </c>
      <c r="Q187" s="5">
        <f t="shared" si="29"/>
        <v>78000</v>
      </c>
      <c r="R187" s="2" t="s">
        <v>46</v>
      </c>
      <c r="S187" s="2" t="str">
        <f t="shared" si="30"/>
        <v>Não</v>
      </c>
      <c r="T187" s="2" t="str">
        <f t="shared" si="31"/>
        <v>Não</v>
      </c>
      <c r="U187" s="2">
        <v>9</v>
      </c>
      <c r="V187" s="2">
        <f t="shared" si="32"/>
        <v>9</v>
      </c>
      <c r="W187" s="2" t="str">
        <f t="shared" si="33"/>
        <v>baixo</v>
      </c>
      <c r="X187" s="5">
        <v>51500</v>
      </c>
      <c r="Y187" t="str">
        <f t="shared" si="34"/>
        <v>Positivo</v>
      </c>
      <c r="Z187" t="str">
        <f t="shared" si="35"/>
        <v>Positivo</v>
      </c>
      <c r="AA187" s="1">
        <f>IF(AND(Y187="Negativo",Z187="Negativo"),0,IF(AND(B187="Ativo",OR(Y187="Positivo",Z187="Positivo")),X187*8%,0))</f>
        <v>0</v>
      </c>
    </row>
    <row r="188" spans="1:27">
      <c r="A188" s="2" t="s">
        <v>354</v>
      </c>
      <c r="B188" s="2" t="str">
        <f t="shared" si="24"/>
        <v>Inativo</v>
      </c>
      <c r="C188" s="2" t="s">
        <v>418</v>
      </c>
      <c r="D188" s="2" t="str">
        <f t="shared" si="25"/>
        <v>Asha Arryn</v>
      </c>
      <c r="E188" s="2" t="s">
        <v>419</v>
      </c>
      <c r="F188" s="2" t="str">
        <f t="shared" si="26"/>
        <v>000.000.122-00</v>
      </c>
      <c r="G188" s="2">
        <v>49</v>
      </c>
      <c r="H188" s="2">
        <f ca="1">IF(G188="", DATEDIF(J188, TODAY(), "Y"), G188)</f>
        <v>49</v>
      </c>
      <c r="I188" s="2">
        <v>28049</v>
      </c>
      <c r="J188" s="6">
        <f t="shared" si="27"/>
        <v>28049</v>
      </c>
      <c r="K188" s="2" t="s">
        <v>80</v>
      </c>
      <c r="L188" s="2" t="str" cm="1">
        <f t="array" ref="L188">_xlfn.TEXTSPLIT(K188,"|")</f>
        <v>Castelo Negro</v>
      </c>
      <c r="M188" s="2" t="s">
        <v>81</v>
      </c>
      <c r="N188" s="3">
        <v>25200</v>
      </c>
      <c r="O188" s="3">
        <f t="shared" si="28"/>
        <v>25200</v>
      </c>
      <c r="P188" s="4">
        <v>59500</v>
      </c>
      <c r="Q188" s="5">
        <f t="shared" si="29"/>
        <v>59500</v>
      </c>
      <c r="R188" s="2" t="s">
        <v>46</v>
      </c>
      <c r="S188" s="2" t="str">
        <f t="shared" si="30"/>
        <v>Não</v>
      </c>
      <c r="T188" s="2" t="str">
        <f t="shared" si="31"/>
        <v>Não</v>
      </c>
      <c r="U188" s="2">
        <v>37</v>
      </c>
      <c r="V188" s="2">
        <f t="shared" si="32"/>
        <v>37</v>
      </c>
      <c r="W188" s="2" t="str">
        <f t="shared" si="33"/>
        <v>alto</v>
      </c>
      <c r="X188" s="5">
        <v>86500</v>
      </c>
      <c r="Y188" t="str">
        <f t="shared" si="34"/>
        <v>Positivo</v>
      </c>
      <c r="Z188" t="str">
        <f t="shared" si="35"/>
        <v>Positivo</v>
      </c>
      <c r="AA188" s="1">
        <f>IF(AND(Y188="Negativo",Z188="Negativo"),0,IF(AND(B188="Ativo",OR(Y188="Positivo",Z188="Positivo")),X188*8%,0))</f>
        <v>0</v>
      </c>
    </row>
    <row r="189" spans="1:27">
      <c r="A189" s="2" t="s">
        <v>24</v>
      </c>
      <c r="B189" s="2" t="str">
        <f t="shared" si="24"/>
        <v>Ativo</v>
      </c>
      <c r="C189" s="2" t="s">
        <v>420</v>
      </c>
      <c r="D189" s="2" t="str">
        <f t="shared" si="25"/>
        <v>Podrick Florent</v>
      </c>
      <c r="E189" s="2" t="s">
        <v>421</v>
      </c>
      <c r="F189" s="2" t="str">
        <f t="shared" si="26"/>
        <v>000.000.354-00</v>
      </c>
      <c r="G189" s="2">
        <v>60</v>
      </c>
      <c r="H189" s="2">
        <f ca="1">IF(G189="", DATEDIF(J189, TODAY(), "Y"), G189)</f>
        <v>60</v>
      </c>
      <c r="I189" s="6">
        <v>24021</v>
      </c>
      <c r="J189" s="6">
        <f t="shared" si="27"/>
        <v>24021</v>
      </c>
      <c r="K189" s="2" t="s">
        <v>107</v>
      </c>
      <c r="L189" s="2" t="str" cm="1">
        <f t="array" ref="L189">_xlfn.TEXTSPLIT(K189,"|")</f>
        <v>Winterfell</v>
      </c>
      <c r="M189" s="2" t="s">
        <v>93</v>
      </c>
      <c r="N189" s="3">
        <v>22900</v>
      </c>
      <c r="O189" s="3">
        <f t="shared" si="28"/>
        <v>22900</v>
      </c>
      <c r="P189" s="4">
        <v>4500</v>
      </c>
      <c r="Q189" s="5">
        <f t="shared" si="29"/>
        <v>4500</v>
      </c>
      <c r="R189" s="2" t="s">
        <v>29</v>
      </c>
      <c r="S189" s="2" t="str">
        <f t="shared" si="30"/>
        <v>Sim</v>
      </c>
      <c r="T189" s="2" t="str">
        <f t="shared" si="31"/>
        <v>Sim</v>
      </c>
      <c r="U189" s="2">
        <v>29</v>
      </c>
      <c r="V189" s="2">
        <f t="shared" si="32"/>
        <v>29</v>
      </c>
      <c r="W189" s="2" t="str">
        <f t="shared" si="33"/>
        <v>alto</v>
      </c>
      <c r="X189" s="5">
        <v>43500</v>
      </c>
      <c r="Y189" t="str">
        <f t="shared" si="34"/>
        <v>Negativo</v>
      </c>
      <c r="Z189" t="str">
        <f t="shared" si="35"/>
        <v>Positivo</v>
      </c>
      <c r="AA189" s="1">
        <f>IF(AND(Y189="Negativo",Z189="Negativo"),0,IF(AND(B189="Ativo",OR(Y189="Positivo",Z189="Positivo")),X189*8%,0))</f>
        <v>3480</v>
      </c>
    </row>
    <row r="190" spans="1:27">
      <c r="A190" s="2" t="s">
        <v>422</v>
      </c>
      <c r="B190" s="2" t="str">
        <f t="shared" si="24"/>
        <v>Inativo</v>
      </c>
      <c r="C190" s="2" t="s">
        <v>423</v>
      </c>
      <c r="D190" s="2" t="str">
        <f t="shared" si="25"/>
        <v>Daario Cerwyn</v>
      </c>
      <c r="E190" s="2">
        <v>17500</v>
      </c>
      <c r="F190" s="2" t="str">
        <f t="shared" si="26"/>
        <v>000.000.175-00</v>
      </c>
      <c r="G190" s="2">
        <v>60</v>
      </c>
      <c r="H190" s="2">
        <f ca="1">IF(G190="", DATEDIF(J190, TODAY(), "Y"), G190)</f>
        <v>60</v>
      </c>
      <c r="I190" s="6">
        <v>24091</v>
      </c>
      <c r="J190" s="6">
        <f t="shared" si="27"/>
        <v>24091</v>
      </c>
      <c r="K190" s="2" t="s">
        <v>49</v>
      </c>
      <c r="L190" s="2" t="str" cm="1">
        <f t="array" ref="L190">_xlfn.TEXTSPLIT(K190,"|")</f>
        <v>Lannisporto</v>
      </c>
      <c r="M190" s="2" t="s">
        <v>53</v>
      </c>
      <c r="N190" s="3">
        <v>10100</v>
      </c>
      <c r="O190" s="3">
        <f t="shared" si="28"/>
        <v>10100</v>
      </c>
      <c r="P190" s="4">
        <v>55000</v>
      </c>
      <c r="Q190" s="5">
        <f t="shared" si="29"/>
        <v>55000</v>
      </c>
      <c r="R190" s="2" t="s">
        <v>46</v>
      </c>
      <c r="S190" s="2" t="str">
        <f t="shared" si="30"/>
        <v>Não</v>
      </c>
      <c r="T190" s="2" t="str">
        <f t="shared" si="31"/>
        <v>Não</v>
      </c>
      <c r="U190" s="2">
        <v>26</v>
      </c>
      <c r="V190" s="2">
        <f t="shared" si="32"/>
        <v>26</v>
      </c>
      <c r="W190" s="2" t="str">
        <f t="shared" si="33"/>
        <v>alto</v>
      </c>
      <c r="X190" s="5">
        <v>54000</v>
      </c>
      <c r="Y190" t="str">
        <f t="shared" si="34"/>
        <v>Positivo</v>
      </c>
      <c r="Z190" t="str">
        <f t="shared" si="35"/>
        <v>Positivo</v>
      </c>
      <c r="AA190" s="1">
        <f>IF(AND(Y190="Negativo",Z190="Negativo"),0,IF(AND(B190="Ativo",OR(Y190="Positivo",Z190="Positivo")),X190*8%,0))</f>
        <v>0</v>
      </c>
    </row>
    <row r="191" spans="1:27">
      <c r="A191" s="2" t="s">
        <v>24</v>
      </c>
      <c r="B191" s="2" t="str">
        <f t="shared" si="24"/>
        <v>Ativo</v>
      </c>
      <c r="C191" s="2" t="s">
        <v>424</v>
      </c>
      <c r="D191" s="2" t="str">
        <f t="shared" si="25"/>
        <v>Catelyn Tarly</v>
      </c>
      <c r="E191" s="2">
        <v>16300</v>
      </c>
      <c r="F191" s="2" t="str">
        <f t="shared" si="26"/>
        <v>000.000.163-00</v>
      </c>
      <c r="G191" s="2">
        <v>27</v>
      </c>
      <c r="H191" s="2">
        <f ca="1">IF(G191="", DATEDIF(J191, TODAY(), "Y"), G191)</f>
        <v>27</v>
      </c>
      <c r="I191" s="6">
        <v>36255</v>
      </c>
      <c r="J191" s="6">
        <f t="shared" si="27"/>
        <v>36255</v>
      </c>
      <c r="K191" s="2" t="s">
        <v>80</v>
      </c>
      <c r="L191" s="2" t="str" cm="1">
        <f t="array" ref="L191">_xlfn.TEXTSPLIT(K191,"|")</f>
        <v>Castelo Negro</v>
      </c>
      <c r="M191" s="2" t="s">
        <v>81</v>
      </c>
      <c r="N191" s="3">
        <v>14000</v>
      </c>
      <c r="O191" s="3">
        <f t="shared" si="28"/>
        <v>14000</v>
      </c>
      <c r="P191" s="4">
        <v>63500</v>
      </c>
      <c r="Q191" s="5">
        <f t="shared" si="29"/>
        <v>63500</v>
      </c>
      <c r="R191" s="2" t="s">
        <v>46</v>
      </c>
      <c r="S191" s="2" t="str">
        <f t="shared" si="30"/>
        <v>Não</v>
      </c>
      <c r="T191" s="2" t="str">
        <f t="shared" si="31"/>
        <v>Não</v>
      </c>
      <c r="U191" s="2">
        <v>24</v>
      </c>
      <c r="V191" s="2">
        <f t="shared" si="32"/>
        <v>24</v>
      </c>
      <c r="W191" s="2" t="str">
        <f t="shared" si="33"/>
        <v>médio</v>
      </c>
      <c r="X191" s="5">
        <v>87000</v>
      </c>
      <c r="Y191" t="str">
        <f t="shared" si="34"/>
        <v>Positivo</v>
      </c>
      <c r="Z191" t="str">
        <f t="shared" si="35"/>
        <v>Positivo</v>
      </c>
      <c r="AA191" s="1">
        <f>IF(AND(Y191="Negativo",Z191="Negativo"),0,IF(AND(B191="Ativo",OR(Y191="Positivo",Z191="Positivo")),X191*8%,0))</f>
        <v>6960</v>
      </c>
    </row>
    <row r="192" spans="1:27">
      <c r="A192" s="2" t="s">
        <v>24</v>
      </c>
      <c r="B192" s="2" t="str">
        <f t="shared" si="24"/>
        <v>Ativo</v>
      </c>
      <c r="C192" s="2" t="s">
        <v>425</v>
      </c>
      <c r="D192" s="2" t="str">
        <f t="shared" si="25"/>
        <v>Rickon Lannister</v>
      </c>
      <c r="E192" s="2" t="s">
        <v>426</v>
      </c>
      <c r="F192" s="2" t="str">
        <f t="shared" si="26"/>
        <v>000.000.197-00</v>
      </c>
      <c r="G192" s="2">
        <v>53</v>
      </c>
      <c r="H192" s="2">
        <f ca="1">IF(G192="", DATEDIF(J192, TODAY(), "Y"), G192)</f>
        <v>53</v>
      </c>
      <c r="I192" s="2">
        <v>26898</v>
      </c>
      <c r="J192" s="6">
        <f t="shared" si="27"/>
        <v>26898</v>
      </c>
      <c r="K192" s="2" t="s">
        <v>100</v>
      </c>
      <c r="L192" s="2" t="str" cm="1">
        <f t="array" ref="L192">_xlfn.TEXTSPLIT(K192,"|")</f>
        <v>Fosso Cailin</v>
      </c>
      <c r="M192" s="2" t="s">
        <v>81</v>
      </c>
      <c r="N192" s="3">
        <v>27100</v>
      </c>
      <c r="O192" s="3">
        <f t="shared" si="28"/>
        <v>27100</v>
      </c>
      <c r="P192" s="4">
        <v>68000</v>
      </c>
      <c r="Q192" s="5">
        <f t="shared" si="29"/>
        <v>68000</v>
      </c>
      <c r="R192" s="2" t="s">
        <v>46</v>
      </c>
      <c r="S192" s="2" t="str">
        <f t="shared" si="30"/>
        <v>Não</v>
      </c>
      <c r="T192" s="2" t="str">
        <f t="shared" si="31"/>
        <v>Não</v>
      </c>
      <c r="U192" s="2">
        <v>40</v>
      </c>
      <c r="V192" s="2">
        <f t="shared" si="32"/>
        <v>40</v>
      </c>
      <c r="W192" s="2" t="str">
        <f t="shared" si="33"/>
        <v>alto</v>
      </c>
      <c r="X192" s="5">
        <v>49500</v>
      </c>
      <c r="Y192" t="str">
        <f t="shared" si="34"/>
        <v>Positivo</v>
      </c>
      <c r="Z192" t="str">
        <f t="shared" si="35"/>
        <v>Positivo</v>
      </c>
      <c r="AA192" s="1">
        <f>IF(AND(Y192="Negativo",Z192="Negativo"),0,IF(AND(B192="Ativo",OR(Y192="Positivo",Z192="Positivo")),X192*8%,0))</f>
        <v>3960</v>
      </c>
    </row>
    <row r="193" spans="1:27">
      <c r="A193" s="2" t="s">
        <v>24</v>
      </c>
      <c r="B193" s="2" t="str">
        <f t="shared" si="24"/>
        <v>Ativo</v>
      </c>
      <c r="C193" s="2" t="s">
        <v>427</v>
      </c>
      <c r="D193" s="2" t="str">
        <f t="shared" si="25"/>
        <v>Jorah Marbrand</v>
      </c>
      <c r="E193" s="2" t="s">
        <v>428</v>
      </c>
      <c r="F193" s="2" t="str">
        <f t="shared" si="26"/>
        <v>000.000.168-00</v>
      </c>
      <c r="G193" s="2">
        <v>37</v>
      </c>
      <c r="H193" s="2">
        <f ca="1">IF(G193="", DATEDIF(J193, TODAY(), "Y"), G193)</f>
        <v>37</v>
      </c>
      <c r="I193" s="2">
        <v>32414</v>
      </c>
      <c r="J193" s="6">
        <f t="shared" si="27"/>
        <v>32414</v>
      </c>
      <c r="K193" s="2" t="s">
        <v>429</v>
      </c>
      <c r="L193" s="2" t="str" cm="1">
        <f t="array" ref="L193:M193">_xlfn.TEXTSPLIT(K193,"|")</f>
        <v xml:space="preserve">Pedra do Dragão </v>
      </c>
      <c r="M193" s="2" t="str">
        <v xml:space="preserve"> Terras da Coroa</v>
      </c>
      <c r="N193" s="3">
        <v>12800</v>
      </c>
      <c r="O193" s="3">
        <f t="shared" si="28"/>
        <v>12800</v>
      </c>
      <c r="P193" s="4">
        <v>76500</v>
      </c>
      <c r="Q193" s="5">
        <f t="shared" si="29"/>
        <v>76500</v>
      </c>
      <c r="R193" s="2" t="s">
        <v>46</v>
      </c>
      <c r="S193" s="2" t="str">
        <f t="shared" si="30"/>
        <v>Não</v>
      </c>
      <c r="T193" s="2" t="str">
        <f t="shared" si="31"/>
        <v>Não</v>
      </c>
      <c r="U193" s="2">
        <v>30</v>
      </c>
      <c r="V193" s="2">
        <f t="shared" si="32"/>
        <v>30</v>
      </c>
      <c r="W193" s="2" t="str">
        <f t="shared" si="33"/>
        <v>alto</v>
      </c>
      <c r="X193" s="5">
        <v>18500</v>
      </c>
      <c r="Y193" t="str">
        <f t="shared" si="34"/>
        <v>Positivo</v>
      </c>
      <c r="Z193" t="str">
        <f t="shared" si="35"/>
        <v>Positivo</v>
      </c>
      <c r="AA193" s="1">
        <f>IF(AND(Y193="Negativo",Z193="Negativo"),0,IF(AND(B193="Ativo",OR(Y193="Positivo",Z193="Positivo")),X193*8%,0))</f>
        <v>1480</v>
      </c>
    </row>
    <row r="194" spans="1:27">
      <c r="A194" s="2" t="s">
        <v>24</v>
      </c>
      <c r="B194" s="2" t="str">
        <f t="shared" si="24"/>
        <v>Ativo</v>
      </c>
      <c r="C194" s="2" t="s">
        <v>430</v>
      </c>
      <c r="D194" s="2" t="str">
        <f t="shared" si="25"/>
        <v>Renly Seaworth</v>
      </c>
      <c r="E194" s="2">
        <v>35000</v>
      </c>
      <c r="F194" s="2" t="str">
        <f t="shared" si="26"/>
        <v>000.000.350-00</v>
      </c>
      <c r="G194" s="2">
        <v>18</v>
      </c>
      <c r="H194" s="2">
        <f ca="1">IF(G194="", DATEDIF(J194, TODAY(), "Y"), G194)</f>
        <v>18</v>
      </c>
      <c r="I194" s="6">
        <v>39342</v>
      </c>
      <c r="J194" s="6">
        <f t="shared" si="27"/>
        <v>39342</v>
      </c>
      <c r="K194" s="2" t="s">
        <v>86</v>
      </c>
      <c r="L194" s="2" t="str" cm="1">
        <f t="array" ref="L194">_xlfn.TEXTSPLIT(K194,"|")</f>
        <v>Vilavelha</v>
      </c>
      <c r="M194" s="2" t="s">
        <v>87</v>
      </c>
      <c r="N194" s="3">
        <v>28900</v>
      </c>
      <c r="O194" s="3">
        <f t="shared" si="28"/>
        <v>28900</v>
      </c>
      <c r="P194" s="4">
        <v>22000</v>
      </c>
      <c r="Q194" s="5">
        <f t="shared" si="29"/>
        <v>22000</v>
      </c>
      <c r="R194" s="2" t="s">
        <v>46</v>
      </c>
      <c r="S194" s="2" t="str">
        <f t="shared" si="30"/>
        <v>Não</v>
      </c>
      <c r="T194" s="2" t="str">
        <f t="shared" si="31"/>
        <v>Não</v>
      </c>
      <c r="U194" s="2">
        <v>23</v>
      </c>
      <c r="V194" s="2">
        <f t="shared" si="32"/>
        <v>23</v>
      </c>
      <c r="W194" s="2" t="str">
        <f t="shared" si="33"/>
        <v>médio</v>
      </c>
      <c r="X194" s="5">
        <v>90000</v>
      </c>
      <c r="Y194" t="str">
        <f t="shared" si="34"/>
        <v>Positivo</v>
      </c>
      <c r="Z194" t="str">
        <f t="shared" si="35"/>
        <v>Positivo</v>
      </c>
      <c r="AA194" s="1">
        <f>IF(AND(Y194="Negativo",Z194="Negativo"),0,IF(AND(B194="Ativo",OR(Y194="Positivo",Z194="Positivo")),X194*8%,0))</f>
        <v>7200</v>
      </c>
    </row>
    <row r="195" spans="1:27">
      <c r="A195" s="2" t="s">
        <v>24</v>
      </c>
      <c r="B195" s="2" t="str">
        <f t="shared" ref="B195:B258" si="36">IF(LEFT(A195,5)="Ativo", "Ativo", "Inativo")</f>
        <v>Ativo</v>
      </c>
      <c r="C195" s="2" t="s">
        <v>219</v>
      </c>
      <c r="D195" s="2" t="str">
        <f t="shared" ref="D195:D258" si="37">PROPER(C195)</f>
        <v>Lyanna Marbrand</v>
      </c>
      <c r="E195" s="2" t="s">
        <v>220</v>
      </c>
      <c r="F195" s="2" t="str">
        <f t="shared" ref="F195:F258" si="38">TEXT(_xlfn.NUMBERVALUE(SUBSTITUTE(SUBSTITUTE(E195,".",""),"-","")), "000\.000\.000\-00")</f>
        <v>000.000.283-00</v>
      </c>
      <c r="G195" s="2">
        <v>27</v>
      </c>
      <c r="H195" s="2">
        <f ca="1">IF(G195="", DATEDIF(J195, TODAY(), "Y"), G195)</f>
        <v>27</v>
      </c>
      <c r="I195" s="2">
        <v>36308</v>
      </c>
      <c r="J195" s="6">
        <f t="shared" ref="J195:J258" si="39">I195</f>
        <v>36308</v>
      </c>
      <c r="K195" s="2" t="s">
        <v>77</v>
      </c>
      <c r="L195" s="2" t="str" cm="1">
        <f t="array" ref="L195">_xlfn.TEXTSPLIT(K195,"|")</f>
        <v>Correrrio</v>
      </c>
      <c r="M195" s="2" t="s">
        <v>78</v>
      </c>
      <c r="N195" s="3">
        <v>5300</v>
      </c>
      <c r="O195" s="3">
        <f t="shared" ref="O195:O258" si="40">IF(OR(N195="", N195="sem renda"), "", N195)</f>
        <v>5300</v>
      </c>
      <c r="P195" s="4">
        <v>22000</v>
      </c>
      <c r="Q195" s="5">
        <f t="shared" ref="Q195:Q258" si="41">P195</f>
        <v>22000</v>
      </c>
      <c r="R195" s="2" t="s">
        <v>176</v>
      </c>
      <c r="S195" s="2" t="str">
        <f t="shared" ref="S195:S258" si="42">IF(R195="", "", IF(R195=0, "não", IF(R195=1, "sim", R195)))</f>
        <v>NÃO</v>
      </c>
      <c r="T195" s="2" t="str">
        <f t="shared" ref="T195:T258" si="43">IF(LEFT(UPPER(S195),1)="S", "Sim", "Não")</f>
        <v>Não</v>
      </c>
      <c r="U195" s="2">
        <v>11</v>
      </c>
      <c r="V195" s="2">
        <f t="shared" ref="V195:V258" si="44">IF(U195="", 0, U195)</f>
        <v>11</v>
      </c>
      <c r="W195" s="2" t="str">
        <f t="shared" ref="W195:W258" si="45">IF(U195&lt;=10, "baixo", IF(U195&lt;=25, "médio", "alto"))</f>
        <v>médio</v>
      </c>
      <c r="X195" s="5">
        <v>4500</v>
      </c>
      <c r="Y195" t="str">
        <f t="shared" ref="Y195:Y258" si="46">IF(AND(W195="alto", S195="Sim"), "Negativo", "Positivo")</f>
        <v>Positivo</v>
      </c>
      <c r="Z195" t="str">
        <f t="shared" ref="Z195:Z258" si="47">IF(OR(Q195="N/A", AND(Q195&gt;50000, S195="Sim")), "Negativo", "Positivo")</f>
        <v>Positivo</v>
      </c>
      <c r="AA195" s="1">
        <f>IF(AND(Y195="Negativo",Z195="Negativo"),0,IF(AND(B195="Ativo",OR(Y195="Positivo",Z195="Positivo")),X195*8%,0))</f>
        <v>360</v>
      </c>
    </row>
    <row r="196" spans="1:27">
      <c r="A196" s="2" t="s">
        <v>24</v>
      </c>
      <c r="B196" s="2" t="str">
        <f t="shared" si="36"/>
        <v>Ativo</v>
      </c>
      <c r="C196" s="2" t="s">
        <v>431</v>
      </c>
      <c r="D196" s="2" t="str">
        <f t="shared" si="37"/>
        <v>Robert Mallister</v>
      </c>
      <c r="E196" s="2" t="s">
        <v>432</v>
      </c>
      <c r="F196" s="2" t="str">
        <f t="shared" si="38"/>
        <v>000.000.037-00</v>
      </c>
      <c r="G196" s="2">
        <v>25</v>
      </c>
      <c r="H196" s="2">
        <f ca="1">IF(G196="", DATEDIF(J196, TODAY(), "Y"), G196)</f>
        <v>25</v>
      </c>
      <c r="I196" s="2">
        <v>36824</v>
      </c>
      <c r="J196" s="6">
        <f t="shared" si="39"/>
        <v>36824</v>
      </c>
      <c r="K196" s="2" t="s">
        <v>80</v>
      </c>
      <c r="L196" s="2" t="str" cm="1">
        <f t="array" ref="L196">_xlfn.TEXTSPLIT(K196,"|")</f>
        <v>Castelo Negro</v>
      </c>
      <c r="M196" s="2" t="s">
        <v>81</v>
      </c>
      <c r="N196" s="3">
        <v>18300</v>
      </c>
      <c r="O196" s="3">
        <f t="shared" si="40"/>
        <v>18300</v>
      </c>
      <c r="P196" s="4">
        <v>41000</v>
      </c>
      <c r="Q196" s="5">
        <f t="shared" si="41"/>
        <v>41000</v>
      </c>
      <c r="R196" s="2" t="s">
        <v>46</v>
      </c>
      <c r="S196" s="2" t="str">
        <f t="shared" si="42"/>
        <v>Não</v>
      </c>
      <c r="T196" s="2" t="str">
        <f t="shared" si="43"/>
        <v>Não</v>
      </c>
      <c r="U196" s="2">
        <v>9</v>
      </c>
      <c r="V196" s="2">
        <f t="shared" si="44"/>
        <v>9</v>
      </c>
      <c r="W196" s="2" t="str">
        <f t="shared" si="45"/>
        <v>baixo</v>
      </c>
      <c r="X196" s="5">
        <v>32500</v>
      </c>
      <c r="Y196" t="str">
        <f t="shared" si="46"/>
        <v>Positivo</v>
      </c>
      <c r="Z196" t="str">
        <f t="shared" si="47"/>
        <v>Positivo</v>
      </c>
      <c r="AA196" s="1">
        <f>IF(AND(Y196="Negativo",Z196="Negativo"),0,IF(AND(B196="Ativo",OR(Y196="Positivo",Z196="Positivo")),X196*8%,0))</f>
        <v>2600</v>
      </c>
    </row>
    <row r="197" spans="1:27">
      <c r="A197" s="2" t="s">
        <v>24</v>
      </c>
      <c r="B197" s="2" t="str">
        <f t="shared" si="36"/>
        <v>Ativo</v>
      </c>
      <c r="C197" s="2" t="s">
        <v>433</v>
      </c>
      <c r="D197" s="2" t="str">
        <f t="shared" si="37"/>
        <v>Ramsay Dayne</v>
      </c>
      <c r="E197" s="2" t="s">
        <v>434</v>
      </c>
      <c r="F197" s="2" t="str">
        <f t="shared" si="38"/>
        <v>000.000.224-00</v>
      </c>
      <c r="G197" s="2">
        <v>55</v>
      </c>
      <c r="H197" s="2">
        <f ca="1">IF(G197="", DATEDIF(J197, TODAY(), "Y"), G197)</f>
        <v>55</v>
      </c>
      <c r="I197" s="2">
        <v>26103</v>
      </c>
      <c r="J197" s="6">
        <f t="shared" si="39"/>
        <v>26103</v>
      </c>
      <c r="K197" s="2" t="s">
        <v>32</v>
      </c>
      <c r="L197" s="2" t="str" cm="1">
        <f t="array" ref="L197">_xlfn.TEXTSPLIT(K197,"|")</f>
        <v>Ponta Tempestade</v>
      </c>
      <c r="M197" s="2" t="s">
        <v>33</v>
      </c>
      <c r="N197" s="3">
        <v>9600</v>
      </c>
      <c r="O197" s="3">
        <f t="shared" si="40"/>
        <v>9600</v>
      </c>
      <c r="P197" s="4">
        <v>43000</v>
      </c>
      <c r="Q197" s="5">
        <f t="shared" si="41"/>
        <v>43000</v>
      </c>
      <c r="R197" s="2" t="s">
        <v>46</v>
      </c>
      <c r="S197" s="2" t="str">
        <f t="shared" si="42"/>
        <v>Não</v>
      </c>
      <c r="T197" s="2" t="str">
        <f t="shared" si="43"/>
        <v>Não</v>
      </c>
      <c r="U197" s="2">
        <v>36</v>
      </c>
      <c r="V197" s="2">
        <f t="shared" si="44"/>
        <v>36</v>
      </c>
      <c r="W197" s="2" t="str">
        <f t="shared" si="45"/>
        <v>alto</v>
      </c>
      <c r="X197" s="5">
        <v>67500</v>
      </c>
      <c r="Y197" t="str">
        <f t="shared" si="46"/>
        <v>Positivo</v>
      </c>
      <c r="Z197" t="str">
        <f t="shared" si="47"/>
        <v>Positivo</v>
      </c>
      <c r="AA197" s="1">
        <f>IF(AND(Y197="Negativo",Z197="Negativo"),0,IF(AND(B197="Ativo",OR(Y197="Positivo",Z197="Positivo")),X197*8%,0))</f>
        <v>5400</v>
      </c>
    </row>
    <row r="198" spans="1:27">
      <c r="A198" s="2" t="s">
        <v>24</v>
      </c>
      <c r="B198" s="2" t="str">
        <f t="shared" si="36"/>
        <v>Ativo</v>
      </c>
      <c r="C198" s="2" t="s">
        <v>435</v>
      </c>
      <c r="D198" s="2" t="str">
        <f t="shared" si="37"/>
        <v>Brienne Karstark</v>
      </c>
      <c r="E198" s="2" t="s">
        <v>436</v>
      </c>
      <c r="F198" s="2" t="str">
        <f t="shared" si="38"/>
        <v>000.000.031-00</v>
      </c>
      <c r="G198" s="2">
        <v>23</v>
      </c>
      <c r="H198" s="2">
        <f ca="1">IF(G198="", DATEDIF(J198, TODAY(), "Y"), G198)</f>
        <v>23</v>
      </c>
      <c r="I198" s="2">
        <v>37530</v>
      </c>
      <c r="J198" s="6">
        <f t="shared" si="39"/>
        <v>37530</v>
      </c>
      <c r="K198" s="2" t="s">
        <v>42</v>
      </c>
      <c r="L198" s="2" t="str" cm="1">
        <f t="array" ref="L198:M198">_xlfn.TEXTSPLIT(K198,"|")</f>
        <v xml:space="preserve">Pyke </v>
      </c>
      <c r="M198" s="2" t="str">
        <v xml:space="preserve"> Ilhas de Ferro</v>
      </c>
      <c r="N198" s="3">
        <v>10700</v>
      </c>
      <c r="O198" s="3">
        <f t="shared" si="40"/>
        <v>10700</v>
      </c>
      <c r="P198" s="4">
        <v>15000</v>
      </c>
      <c r="Q198" s="5">
        <f t="shared" si="41"/>
        <v>15000</v>
      </c>
      <c r="R198" s="2" t="s">
        <v>46</v>
      </c>
      <c r="S198" s="2" t="str">
        <f t="shared" si="42"/>
        <v>Não</v>
      </c>
      <c r="T198" s="2" t="str">
        <f t="shared" si="43"/>
        <v>Não</v>
      </c>
      <c r="U198" s="2">
        <v>42</v>
      </c>
      <c r="V198" s="2">
        <f t="shared" si="44"/>
        <v>42</v>
      </c>
      <c r="W198" s="2" t="str">
        <f t="shared" si="45"/>
        <v>alto</v>
      </c>
      <c r="X198" s="5">
        <v>81500</v>
      </c>
      <c r="Y198" t="str">
        <f t="shared" si="46"/>
        <v>Positivo</v>
      </c>
      <c r="Z198" t="str">
        <f t="shared" si="47"/>
        <v>Positivo</v>
      </c>
      <c r="AA198" s="1">
        <f>IF(AND(Y198="Negativo",Z198="Negativo"),0,IF(AND(B198="Ativo",OR(Y198="Positivo",Z198="Positivo")),X198*8%,0))</f>
        <v>6520</v>
      </c>
    </row>
    <row r="199" spans="1:27">
      <c r="A199" s="2" t="s">
        <v>30</v>
      </c>
      <c r="B199" s="2" t="str">
        <f t="shared" si="36"/>
        <v>Inativo</v>
      </c>
      <c r="C199" s="2" t="s">
        <v>437</v>
      </c>
      <c r="D199" s="2" t="str">
        <f t="shared" si="37"/>
        <v>Tormund Greyjoy</v>
      </c>
      <c r="E199" s="2" t="s">
        <v>438</v>
      </c>
      <c r="F199" s="2" t="str">
        <f t="shared" si="38"/>
        <v>000.000.009-00</v>
      </c>
      <c r="G199" s="2">
        <v>58</v>
      </c>
      <c r="H199" s="2">
        <f ca="1">IF(G199="", DATEDIF(J199, TODAY(), "Y"), G199)</f>
        <v>58</v>
      </c>
      <c r="I199" s="2">
        <v>24872</v>
      </c>
      <c r="J199" s="6">
        <f t="shared" si="39"/>
        <v>24872</v>
      </c>
      <c r="K199" s="2" t="s">
        <v>56</v>
      </c>
      <c r="L199" s="2" t="str" cm="1">
        <f t="array" ref="L199">_xlfn.TEXTSPLIT(K199,"|")</f>
        <v>Pyke</v>
      </c>
      <c r="M199" s="2" t="s">
        <v>194</v>
      </c>
      <c r="N199" s="3">
        <v>12500</v>
      </c>
      <c r="O199" s="3">
        <f t="shared" si="40"/>
        <v>12500</v>
      </c>
      <c r="P199" s="4">
        <v>44500</v>
      </c>
      <c r="Q199" s="5">
        <f t="shared" si="41"/>
        <v>44500</v>
      </c>
      <c r="R199" s="2" t="s">
        <v>176</v>
      </c>
      <c r="S199" s="2" t="str">
        <f t="shared" si="42"/>
        <v>NÃO</v>
      </c>
      <c r="T199" s="2" t="str">
        <f t="shared" si="43"/>
        <v>Não</v>
      </c>
      <c r="U199" s="2">
        <v>13</v>
      </c>
      <c r="V199" s="2">
        <f t="shared" si="44"/>
        <v>13</v>
      </c>
      <c r="W199" s="2" t="str">
        <f t="shared" si="45"/>
        <v>médio</v>
      </c>
      <c r="X199" s="5">
        <v>16000</v>
      </c>
      <c r="Y199" t="str">
        <f t="shared" si="46"/>
        <v>Positivo</v>
      </c>
      <c r="Z199" t="str">
        <f t="shared" si="47"/>
        <v>Positivo</v>
      </c>
      <c r="AA199" s="1">
        <f>IF(AND(Y199="Negativo",Z199="Negativo"),0,IF(AND(B199="Ativo",OR(Y199="Positivo",Z199="Positivo")),X199*8%,0))</f>
        <v>0</v>
      </c>
    </row>
    <row r="200" spans="1:27">
      <c r="A200" s="2" t="s">
        <v>24</v>
      </c>
      <c r="B200" s="2" t="str">
        <f t="shared" si="36"/>
        <v>Ativo</v>
      </c>
      <c r="C200" s="2" t="s">
        <v>439</v>
      </c>
      <c r="D200" s="2" t="str">
        <f t="shared" si="37"/>
        <v>Jaime Yronwood</v>
      </c>
      <c r="F200" s="2" t="str">
        <f t="shared" si="38"/>
        <v>000.000.000-00</v>
      </c>
      <c r="G200" s="2">
        <v>24</v>
      </c>
      <c r="H200" s="2">
        <f ca="1">IF(G200="", DATEDIF(J200, TODAY(), "Y"), G200)</f>
        <v>24</v>
      </c>
      <c r="J200" s="6">
        <f t="shared" si="39"/>
        <v>0</v>
      </c>
      <c r="K200" s="2" t="s">
        <v>36</v>
      </c>
      <c r="L200" s="2" t="str" cm="1">
        <f t="array" ref="L200">_xlfn.TEXTSPLIT(K200,"|")</f>
        <v>Pedra do Dragão</v>
      </c>
      <c r="M200" s="2" t="s">
        <v>327</v>
      </c>
      <c r="N200" s="3">
        <v>17000</v>
      </c>
      <c r="O200" s="3">
        <f t="shared" si="40"/>
        <v>17000</v>
      </c>
      <c r="P200" s="4">
        <v>41000</v>
      </c>
      <c r="Q200" s="5">
        <f t="shared" si="41"/>
        <v>41000</v>
      </c>
      <c r="R200" s="2" t="s">
        <v>46</v>
      </c>
      <c r="S200" s="2" t="str">
        <f t="shared" si="42"/>
        <v>Não</v>
      </c>
      <c r="T200" s="2" t="str">
        <f t="shared" si="43"/>
        <v>Não</v>
      </c>
      <c r="U200" s="2">
        <v>37</v>
      </c>
      <c r="V200" s="2">
        <f t="shared" si="44"/>
        <v>37</v>
      </c>
      <c r="W200" s="2" t="str">
        <f t="shared" si="45"/>
        <v>alto</v>
      </c>
      <c r="X200" s="5">
        <v>33000</v>
      </c>
      <c r="Y200" t="str">
        <f t="shared" si="46"/>
        <v>Positivo</v>
      </c>
      <c r="Z200" t="str">
        <f t="shared" si="47"/>
        <v>Positivo</v>
      </c>
      <c r="AA200" s="1">
        <f>IF(AND(Y200="Negativo",Z200="Negativo"),0,IF(AND(B200="Ativo",OR(Y200="Positivo",Z200="Positivo")),X200*8%,0))</f>
        <v>2640</v>
      </c>
    </row>
    <row r="201" spans="1:27">
      <c r="A201" s="2" t="s">
        <v>24</v>
      </c>
      <c r="B201" s="2" t="str">
        <f t="shared" si="36"/>
        <v>Ativo</v>
      </c>
      <c r="C201" s="2" t="s">
        <v>440</v>
      </c>
      <c r="D201" s="2" t="str">
        <f t="shared" si="37"/>
        <v>Thoros Payne</v>
      </c>
      <c r="E201" s="2">
        <v>7700</v>
      </c>
      <c r="F201" s="2" t="str">
        <f t="shared" si="38"/>
        <v>000.000.077-00</v>
      </c>
      <c r="H201" s="2">
        <f ca="1">IF(G201="", DATEDIF(J201, TODAY(), "Y"), G201)</f>
        <v>40</v>
      </c>
      <c r="I201" s="6">
        <v>31337</v>
      </c>
      <c r="J201" s="6">
        <f t="shared" si="39"/>
        <v>31337</v>
      </c>
      <c r="K201" s="2" t="s">
        <v>106</v>
      </c>
      <c r="L201" s="2" t="str" cm="1">
        <f t="array" ref="L201">_xlfn.TEXTSPLIT(K201,"|")</f>
        <v>Harrenhal</v>
      </c>
      <c r="M201" s="2" t="s">
        <v>78</v>
      </c>
      <c r="N201" s="3">
        <v>14000</v>
      </c>
      <c r="O201" s="3">
        <f t="shared" si="40"/>
        <v>14000</v>
      </c>
      <c r="P201" s="4">
        <v>0</v>
      </c>
      <c r="Q201" s="5">
        <f t="shared" si="41"/>
        <v>0</v>
      </c>
      <c r="R201" s="2" t="s">
        <v>128</v>
      </c>
      <c r="S201" s="2" t="str">
        <f t="shared" si="42"/>
        <v>Nao</v>
      </c>
      <c r="T201" s="2" t="str">
        <f t="shared" si="43"/>
        <v>Não</v>
      </c>
      <c r="U201" s="2">
        <v>24</v>
      </c>
      <c r="V201" s="2">
        <f t="shared" si="44"/>
        <v>24</v>
      </c>
      <c r="W201" s="2" t="str">
        <f t="shared" si="45"/>
        <v>médio</v>
      </c>
      <c r="X201" s="5">
        <v>82000</v>
      </c>
      <c r="Y201" t="str">
        <f t="shared" si="46"/>
        <v>Positivo</v>
      </c>
      <c r="Z201" t="str">
        <f t="shared" si="47"/>
        <v>Positivo</v>
      </c>
      <c r="AA201" s="1">
        <f>IF(AND(Y201="Negativo",Z201="Negativo"),0,IF(AND(B201="Ativo",OR(Y201="Positivo",Z201="Positivo")),X201*8%,0))</f>
        <v>6560</v>
      </c>
    </row>
    <row r="202" spans="1:27">
      <c r="A202" s="2" t="s">
        <v>24</v>
      </c>
      <c r="B202" s="2" t="str">
        <f t="shared" si="36"/>
        <v>Ativo</v>
      </c>
      <c r="C202" s="2" t="s">
        <v>71</v>
      </c>
      <c r="D202" s="2" t="str">
        <f t="shared" si="37"/>
        <v>Asha Tallhart</v>
      </c>
      <c r="E202" s="2" t="s">
        <v>441</v>
      </c>
      <c r="F202" s="2" t="str">
        <f t="shared" si="38"/>
        <v>000.000.006-00</v>
      </c>
      <c r="G202" s="2">
        <v>59</v>
      </c>
      <c r="H202" s="2">
        <f ca="1">IF(G202="", DATEDIF(J202, TODAY(), "Y"), G202)</f>
        <v>59</v>
      </c>
      <c r="I202" s="2">
        <v>24710</v>
      </c>
      <c r="J202" s="6">
        <f t="shared" si="39"/>
        <v>24710</v>
      </c>
      <c r="K202" s="2" t="s">
        <v>442</v>
      </c>
      <c r="L202" s="2" t="str" cm="1">
        <f t="array" ref="L202:M202">_xlfn.TEXTSPLIT(K202,"|")</f>
        <v xml:space="preserve">Correrrio </v>
      </c>
      <c r="M202" s="2" t="str">
        <v xml:space="preserve"> Terras Fluviais</v>
      </c>
      <c r="N202" s="3">
        <v>19900</v>
      </c>
      <c r="O202" s="3">
        <f t="shared" si="40"/>
        <v>19900</v>
      </c>
      <c r="P202" s="4">
        <v>55000</v>
      </c>
      <c r="Q202" s="5">
        <f t="shared" si="41"/>
        <v>55000</v>
      </c>
      <c r="R202" s="2" t="s">
        <v>46</v>
      </c>
      <c r="S202" s="2" t="str">
        <f t="shared" si="42"/>
        <v>Não</v>
      </c>
      <c r="T202" s="2" t="str">
        <f t="shared" si="43"/>
        <v>Não</v>
      </c>
      <c r="U202" s="2">
        <v>26</v>
      </c>
      <c r="V202" s="2">
        <f t="shared" si="44"/>
        <v>26</v>
      </c>
      <c r="W202" s="2" t="str">
        <f t="shared" si="45"/>
        <v>alto</v>
      </c>
      <c r="X202" s="5">
        <v>100000</v>
      </c>
      <c r="Y202" t="str">
        <f t="shared" si="46"/>
        <v>Positivo</v>
      </c>
      <c r="Z202" t="str">
        <f t="shared" si="47"/>
        <v>Positivo</v>
      </c>
      <c r="AA202" s="1">
        <f>IF(AND(Y202="Negativo",Z202="Negativo"),0,IF(AND(B202="Ativo",OR(Y202="Positivo",Z202="Positivo")),X202*8%,0))</f>
        <v>8000</v>
      </c>
    </row>
    <row r="203" spans="1:27">
      <c r="A203" s="2" t="s">
        <v>30</v>
      </c>
      <c r="B203" s="2" t="str">
        <f t="shared" si="36"/>
        <v>Inativo</v>
      </c>
      <c r="C203" s="2" t="s">
        <v>443</v>
      </c>
      <c r="D203" s="2" t="str">
        <f t="shared" si="37"/>
        <v>Theon Tarth</v>
      </c>
      <c r="E203" s="2" t="s">
        <v>444</v>
      </c>
      <c r="F203" s="2" t="str">
        <f t="shared" si="38"/>
        <v>000.000.289-00</v>
      </c>
      <c r="G203" s="2">
        <v>74</v>
      </c>
      <c r="H203" s="2">
        <f ca="1">IF(G203="", DATEDIF(J203, TODAY(), "Y"), G203)</f>
        <v>74</v>
      </c>
      <c r="I203" s="2">
        <v>19073</v>
      </c>
      <c r="J203" s="6">
        <f t="shared" si="39"/>
        <v>19073</v>
      </c>
      <c r="K203" s="2" t="s">
        <v>49</v>
      </c>
      <c r="L203" s="2" t="str" cm="1">
        <f t="array" ref="L203">_xlfn.TEXTSPLIT(K203,"|")</f>
        <v>Lannisporto</v>
      </c>
      <c r="N203" s="3">
        <v>7100</v>
      </c>
      <c r="O203" s="3">
        <f t="shared" si="40"/>
        <v>7100</v>
      </c>
      <c r="P203" s="4">
        <v>61500</v>
      </c>
      <c r="Q203" s="5">
        <f t="shared" si="41"/>
        <v>61500</v>
      </c>
      <c r="R203" s="2" t="s">
        <v>46</v>
      </c>
      <c r="S203" s="2" t="str">
        <f t="shared" si="42"/>
        <v>Não</v>
      </c>
      <c r="T203" s="2" t="str">
        <f t="shared" si="43"/>
        <v>Não</v>
      </c>
      <c r="U203" s="2">
        <v>1</v>
      </c>
      <c r="V203" s="2">
        <f t="shared" si="44"/>
        <v>1</v>
      </c>
      <c r="W203" s="2" t="str">
        <f t="shared" si="45"/>
        <v>baixo</v>
      </c>
      <c r="X203" s="5">
        <v>50500</v>
      </c>
      <c r="Y203" t="str">
        <f t="shared" si="46"/>
        <v>Positivo</v>
      </c>
      <c r="Z203" t="str">
        <f t="shared" si="47"/>
        <v>Positivo</v>
      </c>
      <c r="AA203" s="1">
        <f>IF(AND(Y203="Negativo",Z203="Negativo"),0,IF(AND(B203="Ativo",OR(Y203="Positivo",Z203="Positivo")),X203*8%,0))</f>
        <v>0</v>
      </c>
    </row>
    <row r="204" spans="1:27">
      <c r="A204" s="2" t="s">
        <v>24</v>
      </c>
      <c r="B204" s="2" t="str">
        <f t="shared" si="36"/>
        <v>Ativo</v>
      </c>
      <c r="C204" s="2" t="s">
        <v>445</v>
      </c>
      <c r="D204" s="2" t="str">
        <f t="shared" si="37"/>
        <v>Stannis Seaworth</v>
      </c>
      <c r="E204" s="2" t="s">
        <v>446</v>
      </c>
      <c r="F204" s="2" t="str">
        <f t="shared" si="38"/>
        <v>000.000.316-00</v>
      </c>
      <c r="G204" s="2">
        <v>64</v>
      </c>
      <c r="H204" s="2">
        <f ca="1">IF(G204="", DATEDIF(J204, TODAY(), "Y"), G204)</f>
        <v>64</v>
      </c>
      <c r="I204" s="6">
        <v>22886</v>
      </c>
      <c r="J204" s="6">
        <f t="shared" si="39"/>
        <v>22886</v>
      </c>
      <c r="K204" s="2" t="s">
        <v>56</v>
      </c>
      <c r="L204" s="2" t="str" cm="1">
        <f t="array" ref="L204">_xlfn.TEXTSPLIT(K204,"|")</f>
        <v>Pyke</v>
      </c>
      <c r="M204" s="2" t="s">
        <v>72</v>
      </c>
      <c r="N204" s="3">
        <v>8800</v>
      </c>
      <c r="O204" s="3">
        <f t="shared" si="40"/>
        <v>8800</v>
      </c>
      <c r="P204" s="4">
        <v>66000</v>
      </c>
      <c r="Q204" s="5">
        <f t="shared" si="41"/>
        <v>66000</v>
      </c>
      <c r="R204" s="2" t="s">
        <v>46</v>
      </c>
      <c r="S204" s="2" t="str">
        <f t="shared" si="42"/>
        <v>Não</v>
      </c>
      <c r="T204" s="2" t="str">
        <f t="shared" si="43"/>
        <v>Não</v>
      </c>
      <c r="U204" s="2">
        <v>28</v>
      </c>
      <c r="V204" s="2">
        <f t="shared" si="44"/>
        <v>28</v>
      </c>
      <c r="W204" s="2" t="str">
        <f t="shared" si="45"/>
        <v>alto</v>
      </c>
      <c r="X204" s="5">
        <v>5000</v>
      </c>
      <c r="Y204" t="str">
        <f t="shared" si="46"/>
        <v>Positivo</v>
      </c>
      <c r="Z204" t="str">
        <f t="shared" si="47"/>
        <v>Positivo</v>
      </c>
      <c r="AA204" s="1">
        <f>IF(AND(Y204="Negativo",Z204="Negativo"),0,IF(AND(B204="Ativo",OR(Y204="Positivo",Z204="Positivo")),X204*8%,0))</f>
        <v>400</v>
      </c>
    </row>
    <row r="205" spans="1:27">
      <c r="A205" s="2" t="s">
        <v>30</v>
      </c>
      <c r="B205" s="2" t="str">
        <f t="shared" si="36"/>
        <v>Inativo</v>
      </c>
      <c r="C205" s="2" t="s">
        <v>437</v>
      </c>
      <c r="D205" s="2" t="str">
        <f t="shared" si="37"/>
        <v>Tormund Greyjoy</v>
      </c>
      <c r="E205" s="2" t="s">
        <v>438</v>
      </c>
      <c r="F205" s="2" t="str">
        <f t="shared" si="38"/>
        <v>000.000.009-00</v>
      </c>
      <c r="G205" s="2">
        <v>58</v>
      </c>
      <c r="H205" s="2">
        <f ca="1">IF(G205="", DATEDIF(J205, TODAY(), "Y"), G205)</f>
        <v>58</v>
      </c>
      <c r="I205" s="2">
        <v>24872</v>
      </c>
      <c r="J205" s="6">
        <f t="shared" si="39"/>
        <v>24872</v>
      </c>
      <c r="K205" s="2" t="s">
        <v>56</v>
      </c>
      <c r="L205" s="2" t="str" cm="1">
        <f t="array" ref="L205">_xlfn.TEXTSPLIT(K205,"|")</f>
        <v>Pyke</v>
      </c>
      <c r="M205" s="2" t="s">
        <v>194</v>
      </c>
      <c r="N205" s="3">
        <v>12500</v>
      </c>
      <c r="O205" s="3">
        <f t="shared" si="40"/>
        <v>12500</v>
      </c>
      <c r="P205" s="4">
        <v>44500</v>
      </c>
      <c r="Q205" s="5">
        <f t="shared" si="41"/>
        <v>44500</v>
      </c>
      <c r="R205" s="2" t="s">
        <v>176</v>
      </c>
      <c r="S205" s="2" t="str">
        <f t="shared" si="42"/>
        <v>NÃO</v>
      </c>
      <c r="T205" s="2" t="str">
        <f t="shared" si="43"/>
        <v>Não</v>
      </c>
      <c r="U205" s="2">
        <v>13</v>
      </c>
      <c r="V205" s="2">
        <f t="shared" si="44"/>
        <v>13</v>
      </c>
      <c r="W205" s="2" t="str">
        <f t="shared" si="45"/>
        <v>médio</v>
      </c>
      <c r="X205" s="5">
        <v>98500</v>
      </c>
      <c r="Y205" t="str">
        <f t="shared" si="46"/>
        <v>Positivo</v>
      </c>
      <c r="Z205" t="str">
        <f t="shared" si="47"/>
        <v>Positivo</v>
      </c>
      <c r="AA205" s="1">
        <f>IF(AND(Y205="Negativo",Z205="Negativo"),0,IF(AND(B205="Ativo",OR(Y205="Positivo",Z205="Positivo")),X205*8%,0))</f>
        <v>0</v>
      </c>
    </row>
    <row r="206" spans="1:27">
      <c r="A206" s="2" t="s">
        <v>24</v>
      </c>
      <c r="B206" s="2" t="str">
        <f t="shared" si="36"/>
        <v>Ativo</v>
      </c>
      <c r="C206" s="2" t="s">
        <v>447</v>
      </c>
      <c r="D206" s="2" t="str">
        <f t="shared" si="37"/>
        <v>Grey Worm Dondarrion</v>
      </c>
      <c r="E206" s="2">
        <v>23300</v>
      </c>
      <c r="F206" s="2" t="str">
        <f t="shared" si="38"/>
        <v>000.000.233-00</v>
      </c>
      <c r="G206" s="2">
        <v>38</v>
      </c>
      <c r="H206" s="2">
        <f ca="1">IF(G206="", DATEDIF(J206, TODAY(), "Y"), G206)</f>
        <v>38</v>
      </c>
      <c r="I206" s="2">
        <v>32066</v>
      </c>
      <c r="J206" s="6">
        <f t="shared" si="39"/>
        <v>32066</v>
      </c>
      <c r="K206" s="2" t="s">
        <v>63</v>
      </c>
      <c r="L206" s="2" t="str" cm="1">
        <f t="array" ref="L206">_xlfn.TEXTSPLIT(K206,"|")</f>
        <v>Meereen</v>
      </c>
      <c r="M206" s="2" t="s">
        <v>64</v>
      </c>
      <c r="N206" s="3">
        <v>9700</v>
      </c>
      <c r="O206" s="3">
        <f t="shared" si="40"/>
        <v>9700</v>
      </c>
      <c r="P206" s="4">
        <v>25000</v>
      </c>
      <c r="Q206" s="5">
        <f t="shared" si="41"/>
        <v>25000</v>
      </c>
      <c r="R206" s="2" t="s">
        <v>46</v>
      </c>
      <c r="S206" s="2" t="str">
        <f t="shared" si="42"/>
        <v>Não</v>
      </c>
      <c r="T206" s="2" t="str">
        <f t="shared" si="43"/>
        <v>Não</v>
      </c>
      <c r="U206" s="2">
        <v>0</v>
      </c>
      <c r="V206" s="2">
        <f t="shared" si="44"/>
        <v>0</v>
      </c>
      <c r="W206" s="2" t="str">
        <f t="shared" si="45"/>
        <v>baixo</v>
      </c>
      <c r="X206" s="5">
        <v>55500</v>
      </c>
      <c r="Y206" t="str">
        <f t="shared" si="46"/>
        <v>Positivo</v>
      </c>
      <c r="Z206" t="str">
        <f t="shared" si="47"/>
        <v>Positivo</v>
      </c>
      <c r="AA206" s="1">
        <f>IF(AND(Y206="Negativo",Z206="Negativo"),0,IF(AND(B206="Ativo",OR(Y206="Positivo",Z206="Positivo")),X206*8%,0))</f>
        <v>4440</v>
      </c>
    </row>
    <row r="207" spans="1:27">
      <c r="A207" s="2" t="s">
        <v>24</v>
      </c>
      <c r="B207" s="2" t="str">
        <f t="shared" si="36"/>
        <v>Ativo</v>
      </c>
      <c r="C207" s="2" t="s">
        <v>448</v>
      </c>
      <c r="D207" s="2" t="str">
        <f t="shared" si="37"/>
        <v>Olenna Arryn</v>
      </c>
      <c r="E207" s="2">
        <v>9600</v>
      </c>
      <c r="F207" s="2" t="str">
        <f t="shared" si="38"/>
        <v>000.000.096-00</v>
      </c>
      <c r="G207" s="2">
        <v>49</v>
      </c>
      <c r="H207" s="2">
        <f ca="1">IF(G207="", DATEDIF(J207, TODAY(), "Y"), G207)</f>
        <v>49</v>
      </c>
      <c r="I207" s="2">
        <v>28330</v>
      </c>
      <c r="J207" s="6">
        <f t="shared" si="39"/>
        <v>28330</v>
      </c>
      <c r="K207" s="2" t="s">
        <v>68</v>
      </c>
      <c r="L207" s="2" t="str" cm="1">
        <f t="array" ref="L207">_xlfn.TEXTSPLIT(K207,"|")</f>
        <v>Braavos</v>
      </c>
      <c r="M207" s="2" t="s">
        <v>64</v>
      </c>
      <c r="N207" s="3">
        <v>11500</v>
      </c>
      <c r="O207" s="3">
        <f t="shared" si="40"/>
        <v>11500</v>
      </c>
      <c r="P207" s="4">
        <v>44500</v>
      </c>
      <c r="Q207" s="5">
        <f t="shared" si="41"/>
        <v>44500</v>
      </c>
      <c r="R207" s="2" t="s">
        <v>46</v>
      </c>
      <c r="S207" s="2" t="str">
        <f t="shared" si="42"/>
        <v>Não</v>
      </c>
      <c r="T207" s="2" t="str">
        <f t="shared" si="43"/>
        <v>Não</v>
      </c>
      <c r="U207" s="2">
        <v>45</v>
      </c>
      <c r="V207" s="2">
        <f t="shared" si="44"/>
        <v>45</v>
      </c>
      <c r="W207" s="2" t="str">
        <f t="shared" si="45"/>
        <v>alto</v>
      </c>
      <c r="X207" s="5">
        <v>3000</v>
      </c>
      <c r="Y207" t="str">
        <f t="shared" si="46"/>
        <v>Positivo</v>
      </c>
      <c r="Z207" t="str">
        <f t="shared" si="47"/>
        <v>Positivo</v>
      </c>
      <c r="AA207" s="1">
        <f>IF(AND(Y207="Negativo",Z207="Negativo"),0,IF(AND(B207="Ativo",OR(Y207="Positivo",Z207="Positivo")),X207*8%,0))</f>
        <v>240</v>
      </c>
    </row>
    <row r="208" spans="1:27">
      <c r="A208" s="2" t="s">
        <v>24</v>
      </c>
      <c r="B208" s="2" t="str">
        <f t="shared" si="36"/>
        <v>Ativo</v>
      </c>
      <c r="C208" s="2" t="s">
        <v>449</v>
      </c>
      <c r="D208" s="2" t="str">
        <f t="shared" si="37"/>
        <v>Tyrion Tyrell</v>
      </c>
      <c r="E208" s="2">
        <v>19000</v>
      </c>
      <c r="F208" s="2" t="str">
        <f t="shared" si="38"/>
        <v>000.000.190-00</v>
      </c>
      <c r="G208" s="2">
        <v>42</v>
      </c>
      <c r="H208" s="2">
        <f ca="1">IF(G208="", DATEDIF(J208, TODAY(), "Y"), G208)</f>
        <v>42</v>
      </c>
      <c r="I208" s="6">
        <v>30724</v>
      </c>
      <c r="J208" s="6">
        <f t="shared" si="39"/>
        <v>30724</v>
      </c>
      <c r="K208" s="2" t="s">
        <v>92</v>
      </c>
      <c r="L208" s="2" t="str" cm="1">
        <f t="array" ref="L208">_xlfn.TEXTSPLIT(K208,"|")</f>
        <v>Ilha dos Ursos</v>
      </c>
      <c r="M208" s="2" t="s">
        <v>81</v>
      </c>
      <c r="N208" s="3">
        <v>18500</v>
      </c>
      <c r="O208" s="3">
        <f t="shared" si="40"/>
        <v>18500</v>
      </c>
      <c r="P208" s="4">
        <v>59000</v>
      </c>
      <c r="Q208" s="5">
        <f t="shared" si="41"/>
        <v>59000</v>
      </c>
      <c r="R208" s="2" t="s">
        <v>46</v>
      </c>
      <c r="S208" s="2" t="str">
        <f t="shared" si="42"/>
        <v>Não</v>
      </c>
      <c r="T208" s="2" t="str">
        <f t="shared" si="43"/>
        <v>Não</v>
      </c>
      <c r="U208" s="2">
        <v>44</v>
      </c>
      <c r="V208" s="2">
        <f t="shared" si="44"/>
        <v>44</v>
      </c>
      <c r="W208" s="2" t="str">
        <f t="shared" si="45"/>
        <v>alto</v>
      </c>
      <c r="X208" s="5">
        <v>16500</v>
      </c>
      <c r="Y208" t="str">
        <f t="shared" si="46"/>
        <v>Positivo</v>
      </c>
      <c r="Z208" t="str">
        <f t="shared" si="47"/>
        <v>Positivo</v>
      </c>
      <c r="AA208" s="1">
        <f>IF(AND(Y208="Negativo",Z208="Negativo"),0,IF(AND(B208="Ativo",OR(Y208="Positivo",Z208="Positivo")),X208*8%,0))</f>
        <v>1320</v>
      </c>
    </row>
    <row r="209" spans="1:27">
      <c r="A209" s="2" t="s">
        <v>24</v>
      </c>
      <c r="B209" s="2" t="str">
        <f t="shared" si="36"/>
        <v>Ativo</v>
      </c>
      <c r="C209" s="2" t="s">
        <v>450</v>
      </c>
      <c r="D209" s="2" t="str">
        <f t="shared" si="37"/>
        <v>Robb Clegane</v>
      </c>
      <c r="E209" s="2" t="s">
        <v>451</v>
      </c>
      <c r="F209" s="2" t="str">
        <f t="shared" si="38"/>
        <v>000.000.304-00</v>
      </c>
      <c r="G209" s="2">
        <v>18</v>
      </c>
      <c r="H209" s="2">
        <f ca="1">IF(G209="", DATEDIF(J209, TODAY(), "Y"), G209)</f>
        <v>18</v>
      </c>
      <c r="I209" s="2">
        <v>39338</v>
      </c>
      <c r="J209" s="6">
        <f t="shared" si="39"/>
        <v>39338</v>
      </c>
      <c r="K209" s="2" t="s">
        <v>100</v>
      </c>
      <c r="L209" s="2" t="str" cm="1">
        <f t="array" ref="L209">_xlfn.TEXTSPLIT(K209,"|")</f>
        <v>Fosso Cailin</v>
      </c>
      <c r="M209" s="2" t="s">
        <v>93</v>
      </c>
      <c r="N209" s="3">
        <v>14100</v>
      </c>
      <c r="O209" s="3">
        <f t="shared" si="40"/>
        <v>14100</v>
      </c>
      <c r="P209" s="4">
        <v>38500</v>
      </c>
      <c r="Q209" s="5">
        <f t="shared" si="41"/>
        <v>38500</v>
      </c>
      <c r="R209" s="2" t="s">
        <v>46</v>
      </c>
      <c r="S209" s="2" t="str">
        <f t="shared" si="42"/>
        <v>Não</v>
      </c>
      <c r="T209" s="2" t="str">
        <f t="shared" si="43"/>
        <v>Não</v>
      </c>
      <c r="U209" s="2">
        <v>7</v>
      </c>
      <c r="V209" s="2">
        <f t="shared" si="44"/>
        <v>7</v>
      </c>
      <c r="W209" s="2" t="str">
        <f t="shared" si="45"/>
        <v>baixo</v>
      </c>
      <c r="X209" s="5">
        <v>11000</v>
      </c>
      <c r="Y209" t="str">
        <f t="shared" si="46"/>
        <v>Positivo</v>
      </c>
      <c r="Z209" t="str">
        <f t="shared" si="47"/>
        <v>Positivo</v>
      </c>
      <c r="AA209" s="1">
        <f>IF(AND(Y209="Negativo",Z209="Negativo"),0,IF(AND(B209="Ativo",OR(Y209="Positivo",Z209="Positivo")),X209*8%,0))</f>
        <v>880</v>
      </c>
    </row>
    <row r="210" spans="1:27">
      <c r="A210" s="2" t="s">
        <v>24</v>
      </c>
      <c r="B210" s="2" t="str">
        <f t="shared" si="36"/>
        <v>Ativo</v>
      </c>
      <c r="C210" s="2" t="s">
        <v>452</v>
      </c>
      <c r="D210" s="2" t="str">
        <f t="shared" si="37"/>
        <v>Bran Dondarrion</v>
      </c>
      <c r="E210" s="2">
        <v>4900</v>
      </c>
      <c r="F210" s="2" t="str">
        <f t="shared" si="38"/>
        <v>000.000.049-00</v>
      </c>
      <c r="G210" s="2">
        <v>18</v>
      </c>
      <c r="H210" s="2">
        <f ca="1">IF(G210="", DATEDIF(J210, TODAY(), "Y"), G210)</f>
        <v>18</v>
      </c>
      <c r="I210" s="2">
        <v>39369</v>
      </c>
      <c r="J210" s="6">
        <f t="shared" si="39"/>
        <v>39369</v>
      </c>
      <c r="K210" s="2" t="s">
        <v>63</v>
      </c>
      <c r="L210" s="2" t="str" cm="1">
        <f t="array" ref="L210">_xlfn.TEXTSPLIT(K210,"|")</f>
        <v>Meereen</v>
      </c>
      <c r="M210" s="2" t="s">
        <v>202</v>
      </c>
      <c r="N210" s="3">
        <v>18500</v>
      </c>
      <c r="O210" s="3">
        <f t="shared" si="40"/>
        <v>18500</v>
      </c>
      <c r="P210" s="4">
        <v>74500</v>
      </c>
      <c r="Q210" s="5">
        <f t="shared" si="41"/>
        <v>74500</v>
      </c>
      <c r="R210" s="2" t="s">
        <v>29</v>
      </c>
      <c r="S210" s="2" t="str">
        <f t="shared" si="42"/>
        <v>Sim</v>
      </c>
      <c r="T210" s="2" t="str">
        <f t="shared" si="43"/>
        <v>Sim</v>
      </c>
      <c r="U210" s="2">
        <v>20</v>
      </c>
      <c r="V210" s="2">
        <f t="shared" si="44"/>
        <v>20</v>
      </c>
      <c r="W210" s="2" t="str">
        <f t="shared" si="45"/>
        <v>médio</v>
      </c>
      <c r="X210" s="5">
        <v>45500</v>
      </c>
      <c r="Y210" t="str">
        <f t="shared" si="46"/>
        <v>Positivo</v>
      </c>
      <c r="Z210" t="str">
        <f t="shared" si="47"/>
        <v>Negativo</v>
      </c>
      <c r="AA210" s="1">
        <f>IF(AND(Y210="Negativo",Z210="Negativo"),0,IF(AND(B210="Ativo",OR(Y210="Positivo",Z210="Positivo")),X210*8%,0))</f>
        <v>3640</v>
      </c>
    </row>
    <row r="211" spans="1:27">
      <c r="A211" s="2" t="s">
        <v>30</v>
      </c>
      <c r="B211" s="2" t="str">
        <f t="shared" si="36"/>
        <v>Inativo</v>
      </c>
      <c r="C211" s="2" t="s">
        <v>453</v>
      </c>
      <c r="D211" s="2" t="str">
        <f t="shared" si="37"/>
        <v>Jeor Baelish</v>
      </c>
      <c r="E211" s="2" t="s">
        <v>454</v>
      </c>
      <c r="F211" s="2" t="str">
        <f t="shared" si="38"/>
        <v>000.000.332-00</v>
      </c>
      <c r="G211" s="2">
        <v>66</v>
      </c>
      <c r="H211" s="2">
        <f ca="1">IF(G211="", DATEDIF(J211, TODAY(), "Y"), G211)</f>
        <v>66</v>
      </c>
      <c r="I211" s="6">
        <v>22039</v>
      </c>
      <c r="J211" s="6">
        <f t="shared" si="39"/>
        <v>22039</v>
      </c>
      <c r="K211" s="2" t="s">
        <v>121</v>
      </c>
      <c r="L211" s="2" t="str" cm="1">
        <f t="array" ref="L211">_xlfn.TEXTSPLIT(K211,"|")</f>
        <v>Dorne</v>
      </c>
      <c r="M211" s="2" t="s">
        <v>223</v>
      </c>
      <c r="N211" s="3">
        <v>14300</v>
      </c>
      <c r="O211" s="3">
        <f t="shared" si="40"/>
        <v>14300</v>
      </c>
      <c r="P211" s="4">
        <v>78000</v>
      </c>
      <c r="Q211" s="5">
        <f t="shared" si="41"/>
        <v>78000</v>
      </c>
      <c r="R211" s="2" t="s">
        <v>46</v>
      </c>
      <c r="S211" s="2" t="str">
        <f t="shared" si="42"/>
        <v>Não</v>
      </c>
      <c r="T211" s="2" t="str">
        <f t="shared" si="43"/>
        <v>Não</v>
      </c>
      <c r="U211" s="2">
        <v>28</v>
      </c>
      <c r="V211" s="2">
        <f t="shared" si="44"/>
        <v>28</v>
      </c>
      <c r="W211" s="2" t="str">
        <f t="shared" si="45"/>
        <v>alto</v>
      </c>
      <c r="X211" s="5">
        <v>74500</v>
      </c>
      <c r="Y211" t="str">
        <f t="shared" si="46"/>
        <v>Positivo</v>
      </c>
      <c r="Z211" t="str">
        <f t="shared" si="47"/>
        <v>Positivo</v>
      </c>
      <c r="AA211" s="1">
        <f>IF(AND(Y211="Negativo",Z211="Negativo"),0,IF(AND(B211="Ativo",OR(Y211="Positivo",Z211="Positivo")),X211*8%,0))</f>
        <v>0</v>
      </c>
    </row>
    <row r="212" spans="1:27">
      <c r="A212" s="2" t="s">
        <v>24</v>
      </c>
      <c r="B212" s="2" t="str">
        <f t="shared" si="36"/>
        <v>Ativo</v>
      </c>
      <c r="C212" s="2" t="s">
        <v>455</v>
      </c>
      <c r="D212" s="2" t="str">
        <f t="shared" si="37"/>
        <v>Jaime Dondarrion</v>
      </c>
      <c r="E212" s="2" t="s">
        <v>456</v>
      </c>
      <c r="F212" s="2" t="str">
        <f t="shared" si="38"/>
        <v>000.000.056-00</v>
      </c>
      <c r="G212" s="2">
        <v>35</v>
      </c>
      <c r="H212" s="2">
        <f ca="1">IF(G212="", DATEDIF(J212, TODAY(), "Y"), G212)</f>
        <v>35</v>
      </c>
      <c r="I212" s="6">
        <v>33336</v>
      </c>
      <c r="J212" s="6">
        <f t="shared" si="39"/>
        <v>33336</v>
      </c>
      <c r="K212" s="2" t="s">
        <v>27</v>
      </c>
      <c r="L212" s="2" t="str" cm="1">
        <f t="array" ref="L212">_xlfn.TEXTSPLIT(K212,"|")</f>
        <v>Ninho da Águia</v>
      </c>
      <c r="M212" s="2" t="s">
        <v>28</v>
      </c>
      <c r="N212" s="3">
        <v>20900</v>
      </c>
      <c r="O212" s="3">
        <f t="shared" si="40"/>
        <v>20900</v>
      </c>
      <c r="P212" s="4">
        <v>54000</v>
      </c>
      <c r="Q212" s="5">
        <f t="shared" si="41"/>
        <v>54000</v>
      </c>
      <c r="R212" s="2">
        <v>0</v>
      </c>
      <c r="S212" s="2" t="str">
        <f t="shared" si="42"/>
        <v>não</v>
      </c>
      <c r="T212" s="2" t="str">
        <f t="shared" si="43"/>
        <v>Não</v>
      </c>
      <c r="U212" s="2">
        <v>44</v>
      </c>
      <c r="V212" s="2">
        <f t="shared" si="44"/>
        <v>44</v>
      </c>
      <c r="W212" s="2" t="str">
        <f t="shared" si="45"/>
        <v>alto</v>
      </c>
      <c r="X212" s="5">
        <v>18000</v>
      </c>
      <c r="Y212" t="str">
        <f t="shared" si="46"/>
        <v>Positivo</v>
      </c>
      <c r="Z212" t="str">
        <f t="shared" si="47"/>
        <v>Positivo</v>
      </c>
      <c r="AA212" s="1">
        <f>IF(AND(Y212="Negativo",Z212="Negativo"),0,IF(AND(B212="Ativo",OR(Y212="Positivo",Z212="Positivo")),X212*8%,0))</f>
        <v>1440</v>
      </c>
    </row>
    <row r="213" spans="1:27">
      <c r="A213" s="2" t="s">
        <v>24</v>
      </c>
      <c r="B213" s="2" t="str">
        <f t="shared" si="36"/>
        <v>Ativo</v>
      </c>
      <c r="C213" s="2" t="s">
        <v>457</v>
      </c>
      <c r="D213" s="2" t="str">
        <f t="shared" si="37"/>
        <v>Loras Manderly</v>
      </c>
      <c r="E213" s="2">
        <v>27800</v>
      </c>
      <c r="F213" s="2" t="str">
        <f t="shared" si="38"/>
        <v>000.000.278-00</v>
      </c>
      <c r="G213" s="2">
        <v>38</v>
      </c>
      <c r="H213" s="2">
        <f ca="1">IF(G213="", DATEDIF(J213, TODAY(), "Y"), G213)</f>
        <v>38</v>
      </c>
      <c r="I213" s="2">
        <v>32152</v>
      </c>
      <c r="J213" s="6">
        <f t="shared" si="39"/>
        <v>32152</v>
      </c>
      <c r="K213" s="2" t="s">
        <v>458</v>
      </c>
      <c r="L213" s="2" t="str" cm="1">
        <f t="array" ref="L213:M213">_xlfn.TEXTSPLIT(K213,"|")</f>
        <v xml:space="preserve">Monte Chifre </v>
      </c>
      <c r="M213" s="2" t="str">
        <v xml:space="preserve"> Campina</v>
      </c>
      <c r="N213" s="3">
        <v>2000</v>
      </c>
      <c r="O213" s="3">
        <f t="shared" si="40"/>
        <v>2000</v>
      </c>
      <c r="P213" s="4">
        <v>60000</v>
      </c>
      <c r="Q213" s="5">
        <f t="shared" si="41"/>
        <v>60000</v>
      </c>
      <c r="R213" s="2" t="s">
        <v>46</v>
      </c>
      <c r="S213" s="2" t="str">
        <f t="shared" si="42"/>
        <v>Não</v>
      </c>
      <c r="T213" s="2" t="str">
        <f t="shared" si="43"/>
        <v>Não</v>
      </c>
      <c r="U213" s="2">
        <v>18</v>
      </c>
      <c r="V213" s="2">
        <f t="shared" si="44"/>
        <v>18</v>
      </c>
      <c r="W213" s="2" t="str">
        <f t="shared" si="45"/>
        <v>médio</v>
      </c>
      <c r="X213" s="5">
        <v>54000</v>
      </c>
      <c r="Y213" t="str">
        <f t="shared" si="46"/>
        <v>Positivo</v>
      </c>
      <c r="Z213" t="str">
        <f t="shared" si="47"/>
        <v>Positivo</v>
      </c>
      <c r="AA213" s="1">
        <f>IF(AND(Y213="Negativo",Z213="Negativo"),0,IF(AND(B213="Ativo",OR(Y213="Positivo",Z213="Positivo")),X213*8%,0))</f>
        <v>4320</v>
      </c>
    </row>
    <row r="214" spans="1:27">
      <c r="A214" s="2" t="s">
        <v>30</v>
      </c>
      <c r="B214" s="2" t="str">
        <f t="shared" si="36"/>
        <v>Inativo</v>
      </c>
      <c r="C214" s="2" t="s">
        <v>191</v>
      </c>
      <c r="D214" s="2" t="str">
        <f t="shared" si="37"/>
        <v>Daario Marbrand</v>
      </c>
      <c r="E214" s="2" t="s">
        <v>192</v>
      </c>
      <c r="F214" s="2" t="str">
        <f t="shared" si="38"/>
        <v>000.000.014-00</v>
      </c>
      <c r="G214" s="2">
        <v>46</v>
      </c>
      <c r="H214" s="2">
        <f ca="1">IF(G214="", DATEDIF(J214, TODAY(), "Y"), G214)</f>
        <v>46</v>
      </c>
      <c r="I214" s="6">
        <v>29113</v>
      </c>
      <c r="J214" s="6">
        <f t="shared" si="39"/>
        <v>29113</v>
      </c>
      <c r="K214" s="2" t="s">
        <v>100</v>
      </c>
      <c r="L214" s="2" t="str" cm="1">
        <f t="array" ref="L214">_xlfn.TEXTSPLIT(K214,"|")</f>
        <v>Fosso Cailin</v>
      </c>
      <c r="M214" s="2" t="s">
        <v>81</v>
      </c>
      <c r="N214" s="3">
        <v>15000</v>
      </c>
      <c r="O214" s="3">
        <f t="shared" si="40"/>
        <v>15000</v>
      </c>
      <c r="P214" s="4">
        <v>0</v>
      </c>
      <c r="Q214" s="5">
        <f t="shared" si="41"/>
        <v>0</v>
      </c>
      <c r="R214" s="2" t="s">
        <v>46</v>
      </c>
      <c r="S214" s="2" t="str">
        <f t="shared" si="42"/>
        <v>Não</v>
      </c>
      <c r="T214" s="2" t="str">
        <f t="shared" si="43"/>
        <v>Não</v>
      </c>
      <c r="U214" s="2">
        <v>40</v>
      </c>
      <c r="V214" s="2">
        <f t="shared" si="44"/>
        <v>40</v>
      </c>
      <c r="W214" s="2" t="str">
        <f t="shared" si="45"/>
        <v>alto</v>
      </c>
      <c r="X214" s="5">
        <v>90500</v>
      </c>
      <c r="Y214" t="str">
        <f t="shared" si="46"/>
        <v>Positivo</v>
      </c>
      <c r="Z214" t="str">
        <f t="shared" si="47"/>
        <v>Positivo</v>
      </c>
      <c r="AA214" s="1">
        <f>IF(AND(Y214="Negativo",Z214="Negativo"),0,IF(AND(B214="Ativo",OR(Y214="Positivo",Z214="Positivo")),X214*8%,0))</f>
        <v>0</v>
      </c>
    </row>
    <row r="215" spans="1:27">
      <c r="A215" s="2" t="s">
        <v>24</v>
      </c>
      <c r="B215" s="2" t="str">
        <f t="shared" si="36"/>
        <v>Ativo</v>
      </c>
      <c r="C215" s="2" t="s">
        <v>459</v>
      </c>
      <c r="D215" s="2" t="str">
        <f t="shared" si="37"/>
        <v>Beric Seaworth</v>
      </c>
      <c r="E215" s="2" t="s">
        <v>460</v>
      </c>
      <c r="F215" s="2" t="str">
        <f t="shared" si="38"/>
        <v>000.000.025-00</v>
      </c>
      <c r="G215" s="2">
        <v>72</v>
      </c>
      <c r="H215" s="2">
        <f ca="1">IF(G215="", DATEDIF(J215, TODAY(), "Y"), G215)</f>
        <v>72</v>
      </c>
      <c r="I215" s="2">
        <v>19800</v>
      </c>
      <c r="J215" s="6">
        <f t="shared" si="39"/>
        <v>19800</v>
      </c>
      <c r="K215" s="2" t="s">
        <v>77</v>
      </c>
      <c r="L215" s="2" t="str" cm="1">
        <f t="array" ref="L215">_xlfn.TEXTSPLIT(K215,"|")</f>
        <v>Correrrio</v>
      </c>
      <c r="M215" s="2" t="s">
        <v>78</v>
      </c>
      <c r="N215" s="3">
        <v>24300</v>
      </c>
      <c r="O215" s="3">
        <f t="shared" si="40"/>
        <v>24300</v>
      </c>
      <c r="P215" s="4">
        <v>13500</v>
      </c>
      <c r="Q215" s="5">
        <f t="shared" si="41"/>
        <v>13500</v>
      </c>
      <c r="R215" s="2" t="s">
        <v>46</v>
      </c>
      <c r="S215" s="2" t="str">
        <f t="shared" si="42"/>
        <v>Não</v>
      </c>
      <c r="T215" s="2" t="str">
        <f t="shared" si="43"/>
        <v>Não</v>
      </c>
      <c r="U215" s="2">
        <v>33</v>
      </c>
      <c r="V215" s="2">
        <f t="shared" si="44"/>
        <v>33</v>
      </c>
      <c r="W215" s="2" t="str">
        <f t="shared" si="45"/>
        <v>alto</v>
      </c>
      <c r="X215" s="5">
        <v>14500</v>
      </c>
      <c r="Y215" t="str">
        <f t="shared" si="46"/>
        <v>Positivo</v>
      </c>
      <c r="Z215" t="str">
        <f t="shared" si="47"/>
        <v>Positivo</v>
      </c>
      <c r="AA215" s="1">
        <f>IF(AND(Y215="Negativo",Z215="Negativo"),0,IF(AND(B215="Ativo",OR(Y215="Positivo",Z215="Positivo")),X215*8%,0))</f>
        <v>1160</v>
      </c>
    </row>
    <row r="216" spans="1:27">
      <c r="A216" s="2" t="s">
        <v>24</v>
      </c>
      <c r="B216" s="2" t="str">
        <f t="shared" si="36"/>
        <v>Ativo</v>
      </c>
      <c r="C216" s="2" t="s">
        <v>461</v>
      </c>
      <c r="D216" s="2" t="str">
        <f t="shared" si="37"/>
        <v>Lyanna Seaworth</v>
      </c>
      <c r="E216" s="2" t="s">
        <v>462</v>
      </c>
      <c r="F216" s="2" t="str">
        <f t="shared" si="38"/>
        <v>000.000.041-00</v>
      </c>
      <c r="G216" s="2">
        <v>69</v>
      </c>
      <c r="H216" s="2">
        <f ca="1">IF(G216="", DATEDIF(J216, TODAY(), "Y"), G216)</f>
        <v>69</v>
      </c>
      <c r="J216" s="6">
        <f t="shared" si="39"/>
        <v>0</v>
      </c>
      <c r="K216" s="2" t="s">
        <v>68</v>
      </c>
      <c r="L216" s="2" t="str" cm="1">
        <f t="array" ref="L216">_xlfn.TEXTSPLIT(K216,"|")</f>
        <v>Braavos</v>
      </c>
      <c r="M216" s="2" t="s">
        <v>64</v>
      </c>
      <c r="N216" s="3">
        <v>4500</v>
      </c>
      <c r="O216" s="3">
        <f t="shared" si="40"/>
        <v>4500</v>
      </c>
      <c r="P216" s="4">
        <v>0</v>
      </c>
      <c r="Q216" s="5">
        <f t="shared" si="41"/>
        <v>0</v>
      </c>
      <c r="R216" s="2" t="s">
        <v>29</v>
      </c>
      <c r="S216" s="2" t="str">
        <f t="shared" si="42"/>
        <v>Sim</v>
      </c>
      <c r="T216" s="2" t="str">
        <f t="shared" si="43"/>
        <v>Sim</v>
      </c>
      <c r="U216" s="2">
        <v>32</v>
      </c>
      <c r="V216" s="2">
        <f t="shared" si="44"/>
        <v>32</v>
      </c>
      <c r="W216" s="2" t="str">
        <f t="shared" si="45"/>
        <v>alto</v>
      </c>
      <c r="X216" s="5">
        <v>56500</v>
      </c>
      <c r="Y216" t="str">
        <f t="shared" si="46"/>
        <v>Negativo</v>
      </c>
      <c r="Z216" t="str">
        <f t="shared" si="47"/>
        <v>Positivo</v>
      </c>
      <c r="AA216" s="1">
        <f>IF(AND(Y216="Negativo",Z216="Negativo"),0,IF(AND(B216="Ativo",OR(Y216="Positivo",Z216="Positivo")),X216*8%,0))</f>
        <v>4520</v>
      </c>
    </row>
    <row r="217" spans="1:27">
      <c r="A217" s="2" t="s">
        <v>24</v>
      </c>
      <c r="B217" s="2" t="str">
        <f t="shared" si="36"/>
        <v>Ativo</v>
      </c>
      <c r="C217" s="2" t="s">
        <v>463</v>
      </c>
      <c r="D217" s="2" t="str">
        <f t="shared" si="37"/>
        <v>Margaery Marbrand</v>
      </c>
      <c r="E217" s="2" t="s">
        <v>464</v>
      </c>
      <c r="F217" s="2" t="str">
        <f t="shared" si="38"/>
        <v>000.000.146-00</v>
      </c>
      <c r="G217" s="2">
        <v>22</v>
      </c>
      <c r="H217" s="2">
        <f ca="1">IF(G217="", DATEDIF(J217, TODAY(), "Y"), G217)</f>
        <v>22</v>
      </c>
      <c r="I217" s="2">
        <v>38079</v>
      </c>
      <c r="J217" s="6">
        <f t="shared" si="39"/>
        <v>38079</v>
      </c>
      <c r="K217" s="2" t="s">
        <v>32</v>
      </c>
      <c r="L217" s="2" t="str" cm="1">
        <f t="array" ref="L217">_xlfn.TEXTSPLIT(K217,"|")</f>
        <v>Ponta Tempestade</v>
      </c>
      <c r="M217" s="2" t="s">
        <v>33</v>
      </c>
      <c r="N217" s="3">
        <v>9200</v>
      </c>
      <c r="O217" s="3">
        <f t="shared" si="40"/>
        <v>9200</v>
      </c>
      <c r="P217" s="4">
        <v>5000</v>
      </c>
      <c r="Q217" s="5">
        <f t="shared" si="41"/>
        <v>5000</v>
      </c>
      <c r="R217" s="2" t="s">
        <v>46</v>
      </c>
      <c r="S217" s="2" t="str">
        <f t="shared" si="42"/>
        <v>Não</v>
      </c>
      <c r="T217" s="2" t="str">
        <f t="shared" si="43"/>
        <v>Não</v>
      </c>
      <c r="U217" s="2">
        <v>42</v>
      </c>
      <c r="V217" s="2">
        <f t="shared" si="44"/>
        <v>42</v>
      </c>
      <c r="W217" s="2" t="str">
        <f t="shared" si="45"/>
        <v>alto</v>
      </c>
      <c r="X217" s="5">
        <v>63500</v>
      </c>
      <c r="Y217" t="str">
        <f t="shared" si="46"/>
        <v>Positivo</v>
      </c>
      <c r="Z217" t="str">
        <f t="shared" si="47"/>
        <v>Positivo</v>
      </c>
      <c r="AA217" s="1">
        <f>IF(AND(Y217="Negativo",Z217="Negativo"),0,IF(AND(B217="Ativo",OR(Y217="Positivo",Z217="Positivo")),X217*8%,0))</f>
        <v>5080</v>
      </c>
    </row>
    <row r="218" spans="1:27">
      <c r="A218" s="2" t="s">
        <v>24</v>
      </c>
      <c r="B218" s="2" t="str">
        <f t="shared" si="36"/>
        <v>Ativo</v>
      </c>
      <c r="C218" s="2" t="s">
        <v>465</v>
      </c>
      <c r="D218" s="2" t="str">
        <f t="shared" si="37"/>
        <v>Tormund Yronwood</v>
      </c>
      <c r="E218" s="2" t="s">
        <v>466</v>
      </c>
      <c r="F218" s="2" t="str">
        <f t="shared" si="38"/>
        <v>000.000.187-00</v>
      </c>
      <c r="G218" s="2">
        <v>39</v>
      </c>
      <c r="H218" s="2">
        <f ca="1">IF(G218="", DATEDIF(J218, TODAY(), "Y"), G218)</f>
        <v>39</v>
      </c>
      <c r="I218" s="2">
        <v>31972</v>
      </c>
      <c r="J218" s="6">
        <f t="shared" si="39"/>
        <v>31972</v>
      </c>
      <c r="K218" s="2" t="s">
        <v>77</v>
      </c>
      <c r="L218" s="2" t="str" cm="1">
        <f t="array" ref="L218">_xlfn.TEXTSPLIT(K218,"|")</f>
        <v>Correrrio</v>
      </c>
      <c r="M218" s="2" t="s">
        <v>84</v>
      </c>
      <c r="N218" s="3">
        <v>8700</v>
      </c>
      <c r="O218" s="3">
        <f t="shared" si="40"/>
        <v>8700</v>
      </c>
      <c r="P218" s="4">
        <v>4500</v>
      </c>
      <c r="Q218" s="5">
        <f t="shared" si="41"/>
        <v>4500</v>
      </c>
      <c r="R218" s="2" t="s">
        <v>46</v>
      </c>
      <c r="S218" s="2" t="str">
        <f t="shared" si="42"/>
        <v>Não</v>
      </c>
      <c r="T218" s="2" t="str">
        <f t="shared" si="43"/>
        <v>Não</v>
      </c>
      <c r="U218" s="2">
        <v>16</v>
      </c>
      <c r="V218" s="2">
        <f t="shared" si="44"/>
        <v>16</v>
      </c>
      <c r="W218" s="2" t="str">
        <f t="shared" si="45"/>
        <v>médio</v>
      </c>
      <c r="X218" s="5">
        <v>93500</v>
      </c>
      <c r="Y218" t="str">
        <f t="shared" si="46"/>
        <v>Positivo</v>
      </c>
      <c r="Z218" t="str">
        <f t="shared" si="47"/>
        <v>Positivo</v>
      </c>
      <c r="AA218" s="1">
        <f>IF(AND(Y218="Negativo",Z218="Negativo"),0,IF(AND(B218="Ativo",OR(Y218="Positivo",Z218="Positivo")),X218*8%,0))</f>
        <v>7480</v>
      </c>
    </row>
    <row r="219" spans="1:27">
      <c r="A219" s="2" t="s">
        <v>24</v>
      </c>
      <c r="B219" s="2" t="str">
        <f t="shared" si="36"/>
        <v>Ativo</v>
      </c>
      <c r="C219" s="2" t="s">
        <v>467</v>
      </c>
      <c r="D219" s="2" t="str">
        <f t="shared" si="37"/>
        <v>Ramsay Tarly</v>
      </c>
      <c r="E219" s="2">
        <v>9800</v>
      </c>
      <c r="F219" s="2" t="str">
        <f t="shared" si="38"/>
        <v>000.000.098-00</v>
      </c>
      <c r="G219" s="2">
        <v>35</v>
      </c>
      <c r="H219" s="2">
        <f ca="1">IF(G219="", DATEDIF(J219, TODAY(), "Y"), G219)</f>
        <v>35</v>
      </c>
      <c r="I219" s="6">
        <v>33440</v>
      </c>
      <c r="J219" s="6">
        <f t="shared" si="39"/>
        <v>33440</v>
      </c>
      <c r="K219" s="2" t="s">
        <v>56</v>
      </c>
      <c r="L219" s="2" t="str" cm="1">
        <f t="array" ref="L219">_xlfn.TEXTSPLIT(K219,"|")</f>
        <v>Pyke</v>
      </c>
      <c r="M219" s="2" t="s">
        <v>194</v>
      </c>
      <c r="N219" s="3">
        <v>2000</v>
      </c>
      <c r="O219" s="3">
        <f t="shared" si="40"/>
        <v>2000</v>
      </c>
      <c r="P219" s="4">
        <v>5500</v>
      </c>
      <c r="Q219" s="5">
        <f t="shared" si="41"/>
        <v>5500</v>
      </c>
      <c r="R219" s="2" t="s">
        <v>46</v>
      </c>
      <c r="S219" s="2" t="str">
        <f t="shared" si="42"/>
        <v>Não</v>
      </c>
      <c r="T219" s="2" t="str">
        <f t="shared" si="43"/>
        <v>Não</v>
      </c>
      <c r="U219" s="2">
        <v>34</v>
      </c>
      <c r="V219" s="2">
        <f t="shared" si="44"/>
        <v>34</v>
      </c>
      <c r="W219" s="2" t="str">
        <f t="shared" si="45"/>
        <v>alto</v>
      </c>
      <c r="X219" s="5">
        <v>71000</v>
      </c>
      <c r="Y219" t="str">
        <f t="shared" si="46"/>
        <v>Positivo</v>
      </c>
      <c r="Z219" t="str">
        <f t="shared" si="47"/>
        <v>Positivo</v>
      </c>
      <c r="AA219" s="1">
        <f>IF(AND(Y219="Negativo",Z219="Negativo"),0,IF(AND(B219="Ativo",OR(Y219="Positivo",Z219="Positivo")),X219*8%,0))</f>
        <v>5680</v>
      </c>
    </row>
    <row r="220" spans="1:27">
      <c r="A220" s="2" t="s">
        <v>24</v>
      </c>
      <c r="B220" s="2" t="str">
        <f t="shared" si="36"/>
        <v>Ativo</v>
      </c>
      <c r="C220" s="2" t="s">
        <v>468</v>
      </c>
      <c r="D220" s="2" t="str">
        <f t="shared" si="37"/>
        <v>Shae Mormont</v>
      </c>
      <c r="E220" s="2" t="s">
        <v>469</v>
      </c>
      <c r="F220" s="2" t="str">
        <f t="shared" si="38"/>
        <v>000.000.114-00</v>
      </c>
      <c r="G220" s="2">
        <v>72</v>
      </c>
      <c r="H220" s="2">
        <f ca="1">IF(G220="", DATEDIF(J220, TODAY(), "Y"), G220)</f>
        <v>72</v>
      </c>
      <c r="I220" s="2">
        <v>19623</v>
      </c>
      <c r="J220" s="6">
        <f t="shared" si="39"/>
        <v>19623</v>
      </c>
      <c r="K220" s="2" t="s">
        <v>49</v>
      </c>
      <c r="L220" s="2" t="str" cm="1">
        <f t="array" ref="L220">_xlfn.TEXTSPLIT(K220,"|")</f>
        <v>Lannisporto</v>
      </c>
      <c r="M220" s="2" t="s">
        <v>53</v>
      </c>
      <c r="N220" s="3">
        <v>12600</v>
      </c>
      <c r="O220" s="3">
        <f t="shared" si="40"/>
        <v>12600</v>
      </c>
      <c r="P220" s="4">
        <v>5500</v>
      </c>
      <c r="Q220" s="5">
        <f t="shared" si="41"/>
        <v>5500</v>
      </c>
      <c r="R220" s="2" t="s">
        <v>46</v>
      </c>
      <c r="S220" s="2" t="str">
        <f t="shared" si="42"/>
        <v>Não</v>
      </c>
      <c r="T220" s="2" t="str">
        <f t="shared" si="43"/>
        <v>Não</v>
      </c>
      <c r="U220" s="2">
        <v>35</v>
      </c>
      <c r="V220" s="2">
        <f t="shared" si="44"/>
        <v>35</v>
      </c>
      <c r="W220" s="2" t="str">
        <f t="shared" si="45"/>
        <v>alto</v>
      </c>
      <c r="X220" s="5">
        <v>21000</v>
      </c>
      <c r="Y220" t="str">
        <f t="shared" si="46"/>
        <v>Positivo</v>
      </c>
      <c r="Z220" t="str">
        <f t="shared" si="47"/>
        <v>Positivo</v>
      </c>
      <c r="AA220" s="1">
        <f>IF(AND(Y220="Negativo",Z220="Negativo"),0,IF(AND(B220="Ativo",OR(Y220="Positivo",Z220="Positivo")),X220*8%,0))</f>
        <v>1680</v>
      </c>
    </row>
    <row r="221" spans="1:27">
      <c r="A221" s="2" t="s">
        <v>24</v>
      </c>
      <c r="B221" s="2" t="str">
        <f t="shared" si="36"/>
        <v>Ativo</v>
      </c>
      <c r="C221" s="2" t="s">
        <v>470</v>
      </c>
      <c r="D221" s="2" t="str">
        <f t="shared" si="37"/>
        <v>Renly Bolton</v>
      </c>
      <c r="E221" s="2" t="s">
        <v>471</v>
      </c>
      <c r="F221" s="2" t="str">
        <f t="shared" si="38"/>
        <v>000.000.303-00</v>
      </c>
      <c r="G221" s="2">
        <v>24</v>
      </c>
      <c r="H221" s="2">
        <f ca="1">IF(G221="", DATEDIF(J221, TODAY(), "Y"), G221)</f>
        <v>24</v>
      </c>
      <c r="J221" s="6">
        <f t="shared" si="39"/>
        <v>0</v>
      </c>
      <c r="K221" s="2" t="s">
        <v>80</v>
      </c>
      <c r="L221" s="2" t="str" cm="1">
        <f t="array" ref="L221">_xlfn.TEXTSPLIT(K221,"|")</f>
        <v>Castelo Negro</v>
      </c>
      <c r="M221" s="2" t="s">
        <v>81</v>
      </c>
      <c r="N221" s="3">
        <v>29300</v>
      </c>
      <c r="O221" s="3">
        <f t="shared" si="40"/>
        <v>29300</v>
      </c>
      <c r="P221" s="4">
        <v>32000</v>
      </c>
      <c r="Q221" s="5">
        <f t="shared" si="41"/>
        <v>32000</v>
      </c>
      <c r="R221" s="2" t="s">
        <v>29</v>
      </c>
      <c r="S221" s="2" t="str">
        <f t="shared" si="42"/>
        <v>Sim</v>
      </c>
      <c r="T221" s="2" t="str">
        <f t="shared" si="43"/>
        <v>Sim</v>
      </c>
      <c r="U221" s="2">
        <v>26</v>
      </c>
      <c r="V221" s="2">
        <f t="shared" si="44"/>
        <v>26</v>
      </c>
      <c r="W221" s="2" t="str">
        <f t="shared" si="45"/>
        <v>alto</v>
      </c>
      <c r="X221" s="5">
        <v>59000</v>
      </c>
      <c r="Y221" t="str">
        <f t="shared" si="46"/>
        <v>Negativo</v>
      </c>
      <c r="Z221" t="str">
        <f t="shared" si="47"/>
        <v>Positivo</v>
      </c>
      <c r="AA221" s="1">
        <f>IF(AND(Y221="Negativo",Z221="Negativo"),0,IF(AND(B221="Ativo",OR(Y221="Positivo",Z221="Positivo")),X221*8%,0))</f>
        <v>4720</v>
      </c>
    </row>
    <row r="222" spans="1:27">
      <c r="A222" s="2" t="s">
        <v>30</v>
      </c>
      <c r="B222" s="2" t="str">
        <f t="shared" si="36"/>
        <v>Inativo</v>
      </c>
      <c r="C222" s="2" t="s">
        <v>472</v>
      </c>
      <c r="D222" s="2" t="str">
        <f t="shared" si="37"/>
        <v>Grey Worm Hornwood</v>
      </c>
      <c r="E222" s="2" t="s">
        <v>473</v>
      </c>
      <c r="F222" s="2" t="str">
        <f t="shared" si="38"/>
        <v>000.000.322-00</v>
      </c>
      <c r="G222" s="2">
        <v>26</v>
      </c>
      <c r="H222" s="2">
        <f ca="1">IF(G222="", DATEDIF(J222, TODAY(), "Y"), G222)</f>
        <v>26</v>
      </c>
      <c r="I222" s="2">
        <v>36540</v>
      </c>
      <c r="J222" s="6">
        <f t="shared" si="39"/>
        <v>36540</v>
      </c>
      <c r="K222" s="2" t="s">
        <v>36</v>
      </c>
      <c r="L222" s="2" t="str" cm="1">
        <f t="array" ref="L222">_xlfn.TEXTSPLIT(K222,"|")</f>
        <v>Pedra do Dragão</v>
      </c>
      <c r="M222" s="2" t="s">
        <v>103</v>
      </c>
      <c r="N222" s="3">
        <v>24000</v>
      </c>
      <c r="O222" s="3">
        <f t="shared" si="40"/>
        <v>24000</v>
      </c>
      <c r="P222" s="4">
        <v>52000</v>
      </c>
      <c r="Q222" s="5">
        <f t="shared" si="41"/>
        <v>52000</v>
      </c>
      <c r="R222" s="2" t="s">
        <v>46</v>
      </c>
      <c r="S222" s="2" t="str">
        <f t="shared" si="42"/>
        <v>Não</v>
      </c>
      <c r="T222" s="2" t="str">
        <f t="shared" si="43"/>
        <v>Não</v>
      </c>
      <c r="U222" s="2">
        <v>30</v>
      </c>
      <c r="V222" s="2">
        <f t="shared" si="44"/>
        <v>30</v>
      </c>
      <c r="W222" s="2" t="str">
        <f t="shared" si="45"/>
        <v>alto</v>
      </c>
      <c r="X222" s="5">
        <v>62500</v>
      </c>
      <c r="Y222" t="str">
        <f t="shared" si="46"/>
        <v>Positivo</v>
      </c>
      <c r="Z222" t="str">
        <f t="shared" si="47"/>
        <v>Positivo</v>
      </c>
      <c r="AA222" s="1">
        <f>IF(AND(Y222="Negativo",Z222="Negativo"),0,IF(AND(B222="Ativo",OR(Y222="Positivo",Z222="Positivo")),X222*8%,0))</f>
        <v>0</v>
      </c>
    </row>
    <row r="223" spans="1:27">
      <c r="A223" s="2" t="s">
        <v>24</v>
      </c>
      <c r="B223" s="2" t="str">
        <f t="shared" si="36"/>
        <v>Ativo</v>
      </c>
      <c r="C223" s="2" t="s">
        <v>474</v>
      </c>
      <c r="D223" s="2" t="str">
        <f t="shared" si="37"/>
        <v>Rhaegar Dayne</v>
      </c>
      <c r="E223" s="2" t="s">
        <v>475</v>
      </c>
      <c r="F223" s="2" t="str">
        <f t="shared" si="38"/>
        <v>000.000.335-00</v>
      </c>
      <c r="G223" s="2">
        <v>35</v>
      </c>
      <c r="H223" s="2">
        <f ca="1">IF(G223="", DATEDIF(J223, TODAY(), "Y"), G223)</f>
        <v>35</v>
      </c>
      <c r="I223" s="2">
        <v>33309</v>
      </c>
      <c r="J223" s="6">
        <f t="shared" si="39"/>
        <v>33309</v>
      </c>
      <c r="K223" s="2" t="s">
        <v>77</v>
      </c>
      <c r="L223" s="2" t="str" cm="1">
        <f t="array" ref="L223">_xlfn.TEXTSPLIT(K223,"|")</f>
        <v>Correrrio</v>
      </c>
      <c r="M223" s="2" t="s">
        <v>78</v>
      </c>
      <c r="N223" s="3">
        <v>28500</v>
      </c>
      <c r="O223" s="3">
        <f t="shared" si="40"/>
        <v>28500</v>
      </c>
      <c r="P223" s="4">
        <v>48500</v>
      </c>
      <c r="Q223" s="5">
        <f t="shared" si="41"/>
        <v>48500</v>
      </c>
      <c r="R223" s="2" t="s">
        <v>46</v>
      </c>
      <c r="S223" s="2" t="str">
        <f t="shared" si="42"/>
        <v>Não</v>
      </c>
      <c r="T223" s="2" t="str">
        <f t="shared" si="43"/>
        <v>Não</v>
      </c>
      <c r="U223" s="2">
        <v>24</v>
      </c>
      <c r="V223" s="2">
        <f t="shared" si="44"/>
        <v>24</v>
      </c>
      <c r="W223" s="2" t="str">
        <f t="shared" si="45"/>
        <v>médio</v>
      </c>
      <c r="X223" s="5">
        <v>80500</v>
      </c>
      <c r="Y223" t="str">
        <f t="shared" si="46"/>
        <v>Positivo</v>
      </c>
      <c r="Z223" t="str">
        <f t="shared" si="47"/>
        <v>Positivo</v>
      </c>
      <c r="AA223" s="1">
        <f>IF(AND(Y223="Negativo",Z223="Negativo"),0,IF(AND(B223="Ativo",OR(Y223="Positivo",Z223="Positivo")),X223*8%,0))</f>
        <v>6440</v>
      </c>
    </row>
    <row r="224" spans="1:27">
      <c r="A224" s="2" t="s">
        <v>24</v>
      </c>
      <c r="B224" s="2" t="str">
        <f t="shared" si="36"/>
        <v>Ativo</v>
      </c>
      <c r="C224" s="2" t="s">
        <v>476</v>
      </c>
      <c r="D224" s="2" t="str">
        <f t="shared" si="37"/>
        <v>Bran Bolton</v>
      </c>
      <c r="E224" s="2" t="s">
        <v>477</v>
      </c>
      <c r="F224" s="2" t="str">
        <f t="shared" si="38"/>
        <v>000.000.003-00</v>
      </c>
      <c r="G224" s="2">
        <v>23</v>
      </c>
      <c r="H224" s="2">
        <f ca="1">IF(G224="", DATEDIF(J224, TODAY(), "Y"), G224)</f>
        <v>23</v>
      </c>
      <c r="I224" s="6">
        <v>37785</v>
      </c>
      <c r="J224" s="6">
        <f t="shared" si="39"/>
        <v>37785</v>
      </c>
      <c r="K224" s="2" t="s">
        <v>158</v>
      </c>
      <c r="L224" s="2" t="str" cm="1">
        <f t="array" ref="L224">_xlfn.TEXTSPLIT(K224,"|")</f>
        <v>Porto Real</v>
      </c>
      <c r="M224" s="2" t="s">
        <v>327</v>
      </c>
      <c r="N224" s="3">
        <v>17900</v>
      </c>
      <c r="O224" s="3">
        <f t="shared" si="40"/>
        <v>17900</v>
      </c>
      <c r="P224" s="4">
        <v>28000</v>
      </c>
      <c r="Q224" s="5">
        <f t="shared" si="41"/>
        <v>28000</v>
      </c>
      <c r="R224" s="2" t="s">
        <v>46</v>
      </c>
      <c r="S224" s="2" t="str">
        <f t="shared" si="42"/>
        <v>Não</v>
      </c>
      <c r="T224" s="2" t="str">
        <f t="shared" si="43"/>
        <v>Não</v>
      </c>
      <c r="U224" s="2">
        <v>41</v>
      </c>
      <c r="V224" s="2">
        <f t="shared" si="44"/>
        <v>41</v>
      </c>
      <c r="W224" s="2" t="str">
        <f t="shared" si="45"/>
        <v>alto</v>
      </c>
      <c r="X224" s="5">
        <v>52500</v>
      </c>
      <c r="Y224" t="str">
        <f t="shared" si="46"/>
        <v>Positivo</v>
      </c>
      <c r="Z224" t="str">
        <f t="shared" si="47"/>
        <v>Positivo</v>
      </c>
      <c r="AA224" s="1">
        <f>IF(AND(Y224="Negativo",Z224="Negativo"),0,IF(AND(B224="Ativo",OR(Y224="Positivo",Z224="Positivo")),X224*8%,0))</f>
        <v>4200</v>
      </c>
    </row>
    <row r="225" spans="1:27">
      <c r="A225" s="2" t="s">
        <v>30</v>
      </c>
      <c r="B225" s="2" t="str">
        <f t="shared" si="36"/>
        <v>Inativo</v>
      </c>
      <c r="C225" s="2" t="s">
        <v>478</v>
      </c>
      <c r="D225" s="2" t="str">
        <f t="shared" si="37"/>
        <v>Shae Tarly</v>
      </c>
      <c r="E225" s="2" t="s">
        <v>479</v>
      </c>
      <c r="F225" s="2" t="str">
        <f t="shared" si="38"/>
        <v>000.000.235-00</v>
      </c>
      <c r="G225" s="2">
        <v>33</v>
      </c>
      <c r="H225" s="2">
        <f ca="1">IF(G225="", DATEDIF(J225, TODAY(), "Y"), G225)</f>
        <v>33</v>
      </c>
      <c r="I225" s="2">
        <v>33902</v>
      </c>
      <c r="J225" s="6">
        <f t="shared" si="39"/>
        <v>33902</v>
      </c>
      <c r="K225" s="2" t="s">
        <v>110</v>
      </c>
      <c r="L225" s="2" t="str" cm="1">
        <f t="array" ref="L225">_xlfn.TEXTSPLIT(K225,"|")</f>
        <v>Jardim de Cima</v>
      </c>
      <c r="M225" s="2" t="s">
        <v>152</v>
      </c>
      <c r="N225" s="3">
        <v>12500</v>
      </c>
      <c r="O225" s="3">
        <f t="shared" si="40"/>
        <v>12500</v>
      </c>
      <c r="P225" s="4">
        <v>51500</v>
      </c>
      <c r="Q225" s="5">
        <f t="shared" si="41"/>
        <v>51500</v>
      </c>
      <c r="R225" s="2" t="s">
        <v>29</v>
      </c>
      <c r="S225" s="2" t="str">
        <f t="shared" si="42"/>
        <v>Sim</v>
      </c>
      <c r="T225" s="2" t="str">
        <f t="shared" si="43"/>
        <v>Sim</v>
      </c>
      <c r="U225" s="2">
        <v>44</v>
      </c>
      <c r="V225" s="2">
        <f t="shared" si="44"/>
        <v>44</v>
      </c>
      <c r="W225" s="2" t="str">
        <f t="shared" si="45"/>
        <v>alto</v>
      </c>
      <c r="X225" s="5">
        <v>24000</v>
      </c>
      <c r="Y225" t="str">
        <f t="shared" si="46"/>
        <v>Negativo</v>
      </c>
      <c r="Z225" t="str">
        <f t="shared" si="47"/>
        <v>Negativo</v>
      </c>
      <c r="AA225" s="1">
        <f>IF(AND(Y225="Negativo",Z225="Negativo"),0,IF(AND(B225="Ativo",OR(Y225="Positivo",Z225="Positivo")),X225*8%,0))</f>
        <v>0</v>
      </c>
    </row>
    <row r="226" spans="1:27">
      <c r="A226" s="2" t="s">
        <v>24</v>
      </c>
      <c r="B226" s="2" t="str">
        <f t="shared" si="36"/>
        <v>Ativo</v>
      </c>
      <c r="C226" s="2" t="s">
        <v>468</v>
      </c>
      <c r="D226" s="2" t="str">
        <f t="shared" si="37"/>
        <v>Shae Mormont</v>
      </c>
      <c r="E226" s="2" t="s">
        <v>480</v>
      </c>
      <c r="F226" s="2" t="str">
        <f t="shared" si="38"/>
        <v>000.000.307-00</v>
      </c>
      <c r="G226" s="2">
        <v>63</v>
      </c>
      <c r="H226" s="2">
        <f ca="1">IF(G226="", DATEDIF(J226, TODAY(), "Y"), G226)</f>
        <v>63</v>
      </c>
      <c r="I226" s="6">
        <v>22900</v>
      </c>
      <c r="J226" s="6">
        <f t="shared" si="39"/>
        <v>22900</v>
      </c>
      <c r="K226" s="2" t="s">
        <v>121</v>
      </c>
      <c r="L226" s="2" t="str" cm="1">
        <f t="array" ref="L226">_xlfn.TEXTSPLIT(K226,"|")</f>
        <v>Dorne</v>
      </c>
      <c r="M226" s="2" t="s">
        <v>121</v>
      </c>
      <c r="N226" s="3">
        <v>5500</v>
      </c>
      <c r="O226" s="3">
        <f t="shared" si="40"/>
        <v>5500</v>
      </c>
      <c r="P226" s="4">
        <v>41000</v>
      </c>
      <c r="Q226" s="5">
        <f t="shared" si="41"/>
        <v>41000</v>
      </c>
      <c r="R226" s="2" t="s">
        <v>46</v>
      </c>
      <c r="S226" s="2" t="str">
        <f t="shared" si="42"/>
        <v>Não</v>
      </c>
      <c r="T226" s="2" t="str">
        <f t="shared" si="43"/>
        <v>Não</v>
      </c>
      <c r="U226" s="2">
        <v>2</v>
      </c>
      <c r="V226" s="2">
        <f t="shared" si="44"/>
        <v>2</v>
      </c>
      <c r="W226" s="2" t="str">
        <f t="shared" si="45"/>
        <v>baixo</v>
      </c>
      <c r="X226" s="5">
        <v>54500</v>
      </c>
      <c r="Y226" t="str">
        <f t="shared" si="46"/>
        <v>Positivo</v>
      </c>
      <c r="Z226" t="str">
        <f t="shared" si="47"/>
        <v>Positivo</v>
      </c>
      <c r="AA226" s="1">
        <f>IF(AND(Y226="Negativo",Z226="Negativo"),0,IF(AND(B226="Ativo",OR(Y226="Positivo",Z226="Positivo")),X226*8%,0))</f>
        <v>4360</v>
      </c>
    </row>
    <row r="227" spans="1:27">
      <c r="A227" s="2" t="s">
        <v>30</v>
      </c>
      <c r="B227" s="2" t="str">
        <f t="shared" si="36"/>
        <v>Inativo</v>
      </c>
      <c r="C227" s="2" t="s">
        <v>481</v>
      </c>
      <c r="D227" s="2" t="str">
        <f t="shared" si="37"/>
        <v>Melisandre Crakehall</v>
      </c>
      <c r="E227" s="2" t="s">
        <v>482</v>
      </c>
      <c r="F227" s="2" t="str">
        <f t="shared" si="38"/>
        <v>000.000.260-00</v>
      </c>
      <c r="G227" s="2">
        <v>31</v>
      </c>
      <c r="H227" s="2">
        <f ca="1">IF(G227="", DATEDIF(J227, TODAY(), "Y"), G227)</f>
        <v>31</v>
      </c>
      <c r="I227" s="6">
        <v>34885</v>
      </c>
      <c r="J227" s="6">
        <f t="shared" si="39"/>
        <v>34885</v>
      </c>
      <c r="K227" s="2" t="s">
        <v>36</v>
      </c>
      <c r="L227" s="2" t="str" cm="1">
        <f t="array" ref="L227">_xlfn.TEXTSPLIT(K227,"|")</f>
        <v>Pedra do Dragão</v>
      </c>
      <c r="M227" s="2" t="s">
        <v>37</v>
      </c>
      <c r="N227" s="3">
        <v>16400</v>
      </c>
      <c r="O227" s="3">
        <f t="shared" si="40"/>
        <v>16400</v>
      </c>
      <c r="P227" s="4">
        <v>45500</v>
      </c>
      <c r="Q227" s="5">
        <f t="shared" si="41"/>
        <v>45500</v>
      </c>
      <c r="R227" s="2" t="s">
        <v>39</v>
      </c>
      <c r="S227" s="2" t="str">
        <f t="shared" si="42"/>
        <v>não</v>
      </c>
      <c r="T227" s="2" t="str">
        <f t="shared" si="43"/>
        <v>Não</v>
      </c>
      <c r="U227" s="2">
        <v>6</v>
      </c>
      <c r="V227" s="2">
        <f t="shared" si="44"/>
        <v>6</v>
      </c>
      <c r="W227" s="2" t="str">
        <f t="shared" si="45"/>
        <v>baixo</v>
      </c>
      <c r="X227" s="5">
        <v>49500</v>
      </c>
      <c r="Y227" t="str">
        <f t="shared" si="46"/>
        <v>Positivo</v>
      </c>
      <c r="Z227" t="str">
        <f t="shared" si="47"/>
        <v>Positivo</v>
      </c>
      <c r="AA227" s="1">
        <f>IF(AND(Y227="Negativo",Z227="Negativo"),0,IF(AND(B227="Ativo",OR(Y227="Positivo",Z227="Positivo")),X227*8%,0))</f>
        <v>0</v>
      </c>
    </row>
    <row r="228" spans="1:27">
      <c r="A228" s="2" t="s">
        <v>50</v>
      </c>
      <c r="B228" s="2" t="str">
        <f t="shared" si="36"/>
        <v>Ativo</v>
      </c>
      <c r="C228" s="2" t="s">
        <v>483</v>
      </c>
      <c r="D228" s="2" t="str">
        <f t="shared" si="37"/>
        <v>Sandor Westerling</v>
      </c>
      <c r="E228" s="2" t="s">
        <v>484</v>
      </c>
      <c r="F228" s="2" t="str">
        <f t="shared" si="38"/>
        <v>000.000.008-00</v>
      </c>
      <c r="G228" s="2">
        <v>71</v>
      </c>
      <c r="H228" s="2">
        <f ca="1">IF(G228="", DATEDIF(J228, TODAY(), "Y"), G228)</f>
        <v>71</v>
      </c>
      <c r="I228" s="6">
        <v>20000</v>
      </c>
      <c r="J228" s="6">
        <f t="shared" si="39"/>
        <v>20000</v>
      </c>
      <c r="K228" s="2" t="s">
        <v>174</v>
      </c>
      <c r="L228" s="2" t="str" cm="1">
        <f t="array" ref="L228">_xlfn.TEXTSPLIT(K228,"|")</f>
        <v>Atalaia da Água Cinzenta</v>
      </c>
      <c r="M228" s="2" t="s">
        <v>175</v>
      </c>
      <c r="N228" s="3">
        <v>15100</v>
      </c>
      <c r="O228" s="3">
        <f t="shared" si="40"/>
        <v>15100</v>
      </c>
      <c r="P228" s="4" t="s">
        <v>38</v>
      </c>
      <c r="Q228" s="5" t="str">
        <f t="shared" si="41"/>
        <v>N/A</v>
      </c>
      <c r="R228" s="2" t="s">
        <v>46</v>
      </c>
      <c r="S228" s="2" t="str">
        <f t="shared" si="42"/>
        <v>Não</v>
      </c>
      <c r="T228" s="2" t="str">
        <f t="shared" si="43"/>
        <v>Não</v>
      </c>
      <c r="U228" s="2">
        <v>42</v>
      </c>
      <c r="V228" s="2">
        <f t="shared" si="44"/>
        <v>42</v>
      </c>
      <c r="W228" s="2" t="str">
        <f t="shared" si="45"/>
        <v>alto</v>
      </c>
      <c r="X228" s="5">
        <v>77000</v>
      </c>
      <c r="Y228" t="str">
        <f t="shared" si="46"/>
        <v>Positivo</v>
      </c>
      <c r="Z228" t="str">
        <f t="shared" si="47"/>
        <v>Negativo</v>
      </c>
      <c r="AA228" s="1">
        <f>IF(AND(Y228="Negativo",Z228="Negativo"),0,IF(AND(B228="Ativo",OR(Y228="Positivo",Z228="Positivo")),X228*8%,0))</f>
        <v>6160</v>
      </c>
    </row>
    <row r="229" spans="1:27">
      <c r="A229" s="2" t="s">
        <v>24</v>
      </c>
      <c r="B229" s="2" t="str">
        <f t="shared" si="36"/>
        <v>Ativo</v>
      </c>
      <c r="C229" s="2" t="s">
        <v>485</v>
      </c>
      <c r="D229" s="2" t="str">
        <f t="shared" si="37"/>
        <v>Petyr Snow</v>
      </c>
      <c r="E229" s="2">
        <v>21900</v>
      </c>
      <c r="F229" s="2" t="str">
        <f t="shared" si="38"/>
        <v>000.000.219-00</v>
      </c>
      <c r="G229" s="2">
        <v>67</v>
      </c>
      <c r="H229" s="2">
        <f ca="1">IF(G229="", DATEDIF(J229, TODAY(), "Y"), G229)</f>
        <v>67</v>
      </c>
      <c r="I229" s="2">
        <v>21619</v>
      </c>
      <c r="J229" s="6">
        <f t="shared" si="39"/>
        <v>21619</v>
      </c>
      <c r="K229" s="2" t="s">
        <v>32</v>
      </c>
      <c r="L229" s="2" t="str" cm="1">
        <f t="array" ref="L229">_xlfn.TEXTSPLIT(K229,"|")</f>
        <v>Ponta Tempestade</v>
      </c>
      <c r="M229" s="2" t="s">
        <v>74</v>
      </c>
      <c r="N229" s="3">
        <v>20200</v>
      </c>
      <c r="O229" s="3">
        <f t="shared" si="40"/>
        <v>20200</v>
      </c>
      <c r="P229" s="4">
        <v>6500</v>
      </c>
      <c r="Q229" s="5">
        <f t="shared" si="41"/>
        <v>6500</v>
      </c>
      <c r="R229" s="2" t="s">
        <v>46</v>
      </c>
      <c r="S229" s="2" t="str">
        <f t="shared" si="42"/>
        <v>Não</v>
      </c>
      <c r="T229" s="2" t="str">
        <f t="shared" si="43"/>
        <v>Não</v>
      </c>
      <c r="U229" s="2">
        <v>1</v>
      </c>
      <c r="V229" s="2">
        <f t="shared" si="44"/>
        <v>1</v>
      </c>
      <c r="W229" s="2" t="str">
        <f t="shared" si="45"/>
        <v>baixo</v>
      </c>
      <c r="X229" s="5">
        <v>98500</v>
      </c>
      <c r="Y229" t="str">
        <f t="shared" si="46"/>
        <v>Positivo</v>
      </c>
      <c r="Z229" t="str">
        <f t="shared" si="47"/>
        <v>Positivo</v>
      </c>
      <c r="AA229" s="1">
        <f>IF(AND(Y229="Negativo",Z229="Negativo"),0,IF(AND(B229="Ativo",OR(Y229="Positivo",Z229="Positivo")),X229*8%,0))</f>
        <v>7880</v>
      </c>
    </row>
    <row r="230" spans="1:27">
      <c r="A230" s="2" t="s">
        <v>24</v>
      </c>
      <c r="B230" s="2" t="str">
        <f t="shared" si="36"/>
        <v>Ativo</v>
      </c>
      <c r="C230" s="2" t="s">
        <v>486</v>
      </c>
      <c r="D230" s="2" t="str">
        <f t="shared" si="37"/>
        <v>Robert Tarth</v>
      </c>
      <c r="E230" s="2" t="s">
        <v>487</v>
      </c>
      <c r="F230" s="2" t="str">
        <f t="shared" si="38"/>
        <v>000.000.001-00</v>
      </c>
      <c r="G230" s="2">
        <v>27</v>
      </c>
      <c r="H230" s="2">
        <f ca="1">IF(G230="", DATEDIF(J230, TODAY(), "Y"), G230)</f>
        <v>27</v>
      </c>
      <c r="I230" s="6">
        <v>36288</v>
      </c>
      <c r="J230" s="6">
        <f t="shared" si="39"/>
        <v>36288</v>
      </c>
      <c r="K230" s="2" t="s">
        <v>107</v>
      </c>
      <c r="L230" s="2" t="str" cm="1">
        <f t="array" ref="L230">_xlfn.TEXTSPLIT(K230,"|")</f>
        <v>Winterfell</v>
      </c>
      <c r="M230" s="2" t="s">
        <v>81</v>
      </c>
      <c r="N230" s="3">
        <v>29700</v>
      </c>
      <c r="O230" s="3">
        <f t="shared" si="40"/>
        <v>29700</v>
      </c>
      <c r="P230" s="4">
        <v>12000</v>
      </c>
      <c r="Q230" s="5">
        <f t="shared" si="41"/>
        <v>12000</v>
      </c>
      <c r="R230" s="2" t="s">
        <v>46</v>
      </c>
      <c r="S230" s="2" t="str">
        <f t="shared" si="42"/>
        <v>Não</v>
      </c>
      <c r="T230" s="2" t="str">
        <f t="shared" si="43"/>
        <v>Não</v>
      </c>
      <c r="U230" s="2">
        <v>37</v>
      </c>
      <c r="V230" s="2">
        <f t="shared" si="44"/>
        <v>37</v>
      </c>
      <c r="W230" s="2" t="str">
        <f t="shared" si="45"/>
        <v>alto</v>
      </c>
      <c r="X230" s="5">
        <v>49000</v>
      </c>
      <c r="Y230" t="str">
        <f t="shared" si="46"/>
        <v>Positivo</v>
      </c>
      <c r="Z230" t="str">
        <f t="shared" si="47"/>
        <v>Positivo</v>
      </c>
      <c r="AA230" s="1">
        <f>IF(AND(Y230="Negativo",Z230="Negativo"),0,IF(AND(B230="Ativo",OR(Y230="Positivo",Z230="Positivo")),X230*8%,0))</f>
        <v>3920</v>
      </c>
    </row>
    <row r="231" spans="1:27">
      <c r="A231" s="2" t="s">
        <v>24</v>
      </c>
      <c r="B231" s="2" t="str">
        <f t="shared" si="36"/>
        <v>Ativo</v>
      </c>
      <c r="C231" s="2" t="s">
        <v>488</v>
      </c>
      <c r="D231" s="2" t="str">
        <f t="shared" si="37"/>
        <v>Robb Greyjoy</v>
      </c>
      <c r="E231" s="2" t="s">
        <v>489</v>
      </c>
      <c r="F231" s="2" t="str">
        <f t="shared" si="38"/>
        <v>000.000.227-00</v>
      </c>
      <c r="G231" s="2">
        <v>25</v>
      </c>
      <c r="H231" s="2">
        <f ca="1">IF(G231="", DATEDIF(J231, TODAY(), "Y"), G231)</f>
        <v>25</v>
      </c>
      <c r="I231" s="6">
        <v>37056</v>
      </c>
      <c r="J231" s="6">
        <f t="shared" si="39"/>
        <v>37056</v>
      </c>
      <c r="K231" s="2" t="s">
        <v>100</v>
      </c>
      <c r="L231" s="2" t="str" cm="1">
        <f t="array" ref="L231">_xlfn.TEXTSPLIT(K231,"|")</f>
        <v>Fosso Cailin</v>
      </c>
      <c r="M231" s="2" t="s">
        <v>81</v>
      </c>
      <c r="N231" s="3">
        <v>25400</v>
      </c>
      <c r="O231" s="3">
        <f t="shared" si="40"/>
        <v>25400</v>
      </c>
      <c r="P231" s="4">
        <v>4000</v>
      </c>
      <c r="Q231" s="5">
        <f t="shared" si="41"/>
        <v>4000</v>
      </c>
      <c r="R231" s="2" t="s">
        <v>46</v>
      </c>
      <c r="S231" s="2" t="str">
        <f t="shared" si="42"/>
        <v>Não</v>
      </c>
      <c r="T231" s="2" t="str">
        <f t="shared" si="43"/>
        <v>Não</v>
      </c>
      <c r="U231" s="2">
        <v>4</v>
      </c>
      <c r="V231" s="2">
        <f t="shared" si="44"/>
        <v>4</v>
      </c>
      <c r="W231" s="2" t="str">
        <f t="shared" si="45"/>
        <v>baixo</v>
      </c>
      <c r="X231" s="5">
        <v>8500</v>
      </c>
      <c r="Y231" t="str">
        <f t="shared" si="46"/>
        <v>Positivo</v>
      </c>
      <c r="Z231" t="str">
        <f t="shared" si="47"/>
        <v>Positivo</v>
      </c>
      <c r="AA231" s="1">
        <f>IF(AND(Y231="Negativo",Z231="Negativo"),0,IF(AND(B231="Ativo",OR(Y231="Positivo",Z231="Positivo")),X231*8%,0))</f>
        <v>680</v>
      </c>
    </row>
    <row r="232" spans="1:27">
      <c r="A232" s="2" t="s">
        <v>24</v>
      </c>
      <c r="B232" s="2" t="str">
        <f t="shared" si="36"/>
        <v>Ativo</v>
      </c>
      <c r="C232" s="2" t="s">
        <v>490</v>
      </c>
      <c r="D232" s="2" t="str">
        <f t="shared" si="37"/>
        <v>Yara  Marbrand</v>
      </c>
      <c r="E232" s="2" t="s">
        <v>491</v>
      </c>
      <c r="F232" s="2" t="str">
        <f t="shared" si="38"/>
        <v>000.000.266-00</v>
      </c>
      <c r="G232" s="2">
        <v>70</v>
      </c>
      <c r="H232" s="2">
        <f ca="1">IF(G232="", DATEDIF(J232, TODAY(), "Y"), G232)</f>
        <v>70</v>
      </c>
      <c r="I232" s="2">
        <v>20533</v>
      </c>
      <c r="J232" s="6">
        <f t="shared" si="39"/>
        <v>20533</v>
      </c>
      <c r="K232" s="2" t="s">
        <v>174</v>
      </c>
      <c r="L232" s="2" t="str" cm="1">
        <f t="array" ref="L232">_xlfn.TEXTSPLIT(K232,"|")</f>
        <v>Atalaia da Água Cinzenta</v>
      </c>
      <c r="M232" s="2" t="s">
        <v>367</v>
      </c>
      <c r="N232" s="3">
        <v>9100</v>
      </c>
      <c r="O232" s="3">
        <f t="shared" si="40"/>
        <v>9100</v>
      </c>
      <c r="P232" s="4">
        <v>40500</v>
      </c>
      <c r="Q232" s="5">
        <f t="shared" si="41"/>
        <v>40500</v>
      </c>
      <c r="R232" s="2" t="s">
        <v>46</v>
      </c>
      <c r="S232" s="2" t="str">
        <f t="shared" si="42"/>
        <v>Não</v>
      </c>
      <c r="T232" s="2" t="str">
        <f t="shared" si="43"/>
        <v>Não</v>
      </c>
      <c r="U232" s="2">
        <v>35</v>
      </c>
      <c r="V232" s="2">
        <f t="shared" si="44"/>
        <v>35</v>
      </c>
      <c r="W232" s="2" t="str">
        <f t="shared" si="45"/>
        <v>alto</v>
      </c>
      <c r="X232" s="5">
        <v>53000</v>
      </c>
      <c r="Y232" t="str">
        <f t="shared" si="46"/>
        <v>Positivo</v>
      </c>
      <c r="Z232" t="str">
        <f t="shared" si="47"/>
        <v>Positivo</v>
      </c>
      <c r="AA232" s="1">
        <f>IF(AND(Y232="Negativo",Z232="Negativo"),0,IF(AND(B232="Ativo",OR(Y232="Positivo",Z232="Positivo")),X232*8%,0))</f>
        <v>4240</v>
      </c>
    </row>
    <row r="233" spans="1:27">
      <c r="A233" s="2" t="s">
        <v>30</v>
      </c>
      <c r="B233" s="2" t="str">
        <f t="shared" si="36"/>
        <v>Inativo</v>
      </c>
      <c r="C233" s="2" t="s">
        <v>492</v>
      </c>
      <c r="D233" s="2" t="str">
        <f t="shared" si="37"/>
        <v>Cersei  Marbrand</v>
      </c>
      <c r="E233" s="2" t="s">
        <v>493</v>
      </c>
      <c r="F233" s="2" t="str">
        <f t="shared" si="38"/>
        <v>000.000.158-00</v>
      </c>
      <c r="G233" s="2">
        <v>57</v>
      </c>
      <c r="H233" s="2">
        <f ca="1">IF(G233="", DATEDIF(J233, TODAY(), "Y"), G233)</f>
        <v>57</v>
      </c>
      <c r="I233" s="6">
        <v>25324</v>
      </c>
      <c r="J233" s="6">
        <f t="shared" si="39"/>
        <v>25324</v>
      </c>
      <c r="K233" s="2" t="s">
        <v>92</v>
      </c>
      <c r="L233" s="2" t="str" cm="1">
        <f t="array" ref="L233">_xlfn.TEXTSPLIT(K233,"|")</f>
        <v>Ilha dos Ursos</v>
      </c>
      <c r="M233" s="2" t="s">
        <v>93</v>
      </c>
      <c r="N233" s="3">
        <v>9500</v>
      </c>
      <c r="O233" s="3">
        <f t="shared" si="40"/>
        <v>9500</v>
      </c>
      <c r="P233" s="4">
        <v>58000</v>
      </c>
      <c r="Q233" s="5">
        <f t="shared" si="41"/>
        <v>58000</v>
      </c>
      <c r="R233" s="2" t="s">
        <v>128</v>
      </c>
      <c r="S233" s="2" t="str">
        <f t="shared" si="42"/>
        <v>Nao</v>
      </c>
      <c r="T233" s="2" t="str">
        <f t="shared" si="43"/>
        <v>Não</v>
      </c>
      <c r="U233" s="2">
        <v>23</v>
      </c>
      <c r="V233" s="2">
        <f t="shared" si="44"/>
        <v>23</v>
      </c>
      <c r="W233" s="2" t="str">
        <f t="shared" si="45"/>
        <v>médio</v>
      </c>
      <c r="X233" s="5">
        <v>81500</v>
      </c>
      <c r="Y233" t="str">
        <f t="shared" si="46"/>
        <v>Positivo</v>
      </c>
      <c r="Z233" t="str">
        <f t="shared" si="47"/>
        <v>Positivo</v>
      </c>
      <c r="AA233" s="1">
        <f>IF(AND(Y233="Negativo",Z233="Negativo"),0,IF(AND(B233="Ativo",OR(Y233="Positivo",Z233="Positivo")),X233*8%,0))</f>
        <v>0</v>
      </c>
    </row>
    <row r="234" spans="1:27">
      <c r="A234" s="2" t="s">
        <v>30</v>
      </c>
      <c r="B234" s="2" t="str">
        <f t="shared" si="36"/>
        <v>Inativo</v>
      </c>
      <c r="C234" s="2" t="s">
        <v>494</v>
      </c>
      <c r="D234" s="2" t="str">
        <f t="shared" si="37"/>
        <v>Melisandre Baratheon</v>
      </c>
      <c r="E234" s="2" t="s">
        <v>495</v>
      </c>
      <c r="F234" s="2" t="str">
        <f t="shared" si="38"/>
        <v>000.000.020-00</v>
      </c>
      <c r="G234" s="2">
        <v>58</v>
      </c>
      <c r="H234" s="2">
        <f ca="1">IF(G234="", DATEDIF(J234, TODAY(), "Y"), G234)</f>
        <v>58</v>
      </c>
      <c r="I234" s="2">
        <v>25054</v>
      </c>
      <c r="J234" s="6">
        <f t="shared" si="39"/>
        <v>25054</v>
      </c>
      <c r="K234" s="2" t="s">
        <v>158</v>
      </c>
      <c r="L234" s="2" t="str" cm="1">
        <f t="array" ref="L234">_xlfn.TEXTSPLIT(K234,"|")</f>
        <v>Porto Real</v>
      </c>
      <c r="M234" s="2" t="s">
        <v>103</v>
      </c>
      <c r="N234" s="3">
        <v>4500</v>
      </c>
      <c r="O234" s="3">
        <f t="shared" si="40"/>
        <v>4500</v>
      </c>
      <c r="P234" s="4">
        <v>20000</v>
      </c>
      <c r="Q234" s="5">
        <f t="shared" si="41"/>
        <v>20000</v>
      </c>
      <c r="R234" s="2" t="s">
        <v>29</v>
      </c>
      <c r="S234" s="2" t="str">
        <f t="shared" si="42"/>
        <v>Sim</v>
      </c>
      <c r="T234" s="2" t="str">
        <f t="shared" si="43"/>
        <v>Sim</v>
      </c>
      <c r="U234" s="2">
        <v>9</v>
      </c>
      <c r="V234" s="2">
        <f t="shared" si="44"/>
        <v>9</v>
      </c>
      <c r="W234" s="2" t="str">
        <f t="shared" si="45"/>
        <v>baixo</v>
      </c>
      <c r="X234" s="5">
        <v>49000</v>
      </c>
      <c r="Y234" t="str">
        <f t="shared" si="46"/>
        <v>Positivo</v>
      </c>
      <c r="Z234" t="str">
        <f t="shared" si="47"/>
        <v>Positivo</v>
      </c>
      <c r="AA234" s="1">
        <f>IF(AND(Y234="Negativo",Z234="Negativo"),0,IF(AND(B234="Ativo",OR(Y234="Positivo",Z234="Positivo")),X234*8%,0))</f>
        <v>0</v>
      </c>
    </row>
    <row r="235" spans="1:27">
      <c r="A235" s="2" t="s">
        <v>30</v>
      </c>
      <c r="B235" s="2" t="str">
        <f t="shared" si="36"/>
        <v>Inativo</v>
      </c>
      <c r="C235" s="2" t="s">
        <v>496</v>
      </c>
      <c r="D235" s="2" t="str">
        <f t="shared" si="37"/>
        <v>Yara Tallhart</v>
      </c>
      <c r="E235" s="2">
        <v>6400</v>
      </c>
      <c r="F235" s="2" t="str">
        <f t="shared" si="38"/>
        <v>000.000.064-00</v>
      </c>
      <c r="G235" s="2">
        <v>57</v>
      </c>
      <c r="H235" s="2">
        <f ca="1">IF(G235="", DATEDIF(J235, TODAY(), "Y"), G235)</f>
        <v>57</v>
      </c>
      <c r="I235" s="2">
        <v>25206</v>
      </c>
      <c r="J235" s="6">
        <f t="shared" si="39"/>
        <v>25206</v>
      </c>
      <c r="K235" s="2" t="s">
        <v>77</v>
      </c>
      <c r="L235" s="2" t="str" cm="1">
        <f t="array" ref="L235">_xlfn.TEXTSPLIT(K235,"|")</f>
        <v>Correrrio</v>
      </c>
      <c r="M235" s="2" t="s">
        <v>273</v>
      </c>
      <c r="N235" s="3">
        <v>3400</v>
      </c>
      <c r="O235" s="3">
        <f t="shared" si="40"/>
        <v>3400</v>
      </c>
      <c r="P235" s="4">
        <v>0</v>
      </c>
      <c r="Q235" s="5">
        <f t="shared" si="41"/>
        <v>0</v>
      </c>
      <c r="R235" s="2" t="s">
        <v>46</v>
      </c>
      <c r="S235" s="2" t="str">
        <f t="shared" si="42"/>
        <v>Não</v>
      </c>
      <c r="T235" s="2" t="str">
        <f t="shared" si="43"/>
        <v>Não</v>
      </c>
      <c r="U235" s="2">
        <v>20</v>
      </c>
      <c r="V235" s="2">
        <f t="shared" si="44"/>
        <v>20</v>
      </c>
      <c r="W235" s="2" t="str">
        <f t="shared" si="45"/>
        <v>médio</v>
      </c>
      <c r="X235" s="5">
        <v>19500</v>
      </c>
      <c r="Y235" t="str">
        <f t="shared" si="46"/>
        <v>Positivo</v>
      </c>
      <c r="Z235" t="str">
        <f t="shared" si="47"/>
        <v>Positivo</v>
      </c>
      <c r="AA235" s="1">
        <f>IF(AND(Y235="Negativo",Z235="Negativo"),0,IF(AND(B235="Ativo",OR(Y235="Positivo",Z235="Positivo")),X235*8%,0))</f>
        <v>0</v>
      </c>
    </row>
    <row r="236" spans="1:27">
      <c r="A236" s="2" t="s">
        <v>24</v>
      </c>
      <c r="B236" s="2" t="str">
        <f t="shared" si="36"/>
        <v>Ativo</v>
      </c>
      <c r="C236" s="2" t="s">
        <v>497</v>
      </c>
      <c r="D236" s="2" t="str">
        <f t="shared" si="37"/>
        <v>Gilly Mormont</v>
      </c>
      <c r="E236" s="2" t="s">
        <v>498</v>
      </c>
      <c r="F236" s="2" t="str">
        <f t="shared" si="38"/>
        <v>000.000.220-00</v>
      </c>
      <c r="G236" s="2">
        <v>65</v>
      </c>
      <c r="H236" s="2">
        <f ca="1">IF(G236="", DATEDIF(J236, TODAY(), "Y"), G236)</f>
        <v>65</v>
      </c>
      <c r="I236" s="6">
        <v>22366</v>
      </c>
      <c r="J236" s="6">
        <f t="shared" si="39"/>
        <v>22366</v>
      </c>
      <c r="K236" s="2" t="s">
        <v>110</v>
      </c>
      <c r="L236" s="2" t="str" cm="1">
        <f t="array" ref="L236">_xlfn.TEXTSPLIT(K236,"|")</f>
        <v>Jardim de Cima</v>
      </c>
      <c r="M236" s="2" t="s">
        <v>152</v>
      </c>
      <c r="N236" s="3">
        <v>18000</v>
      </c>
      <c r="O236" s="3">
        <f t="shared" si="40"/>
        <v>18000</v>
      </c>
      <c r="P236" s="4">
        <v>0</v>
      </c>
      <c r="Q236" s="5">
        <f t="shared" si="41"/>
        <v>0</v>
      </c>
      <c r="R236" s="2" t="s">
        <v>46</v>
      </c>
      <c r="S236" s="2" t="str">
        <f t="shared" si="42"/>
        <v>Não</v>
      </c>
      <c r="T236" s="2" t="str">
        <f t="shared" si="43"/>
        <v>Não</v>
      </c>
      <c r="U236" s="2">
        <v>27</v>
      </c>
      <c r="V236" s="2">
        <f t="shared" si="44"/>
        <v>27</v>
      </c>
      <c r="W236" s="2" t="str">
        <f t="shared" si="45"/>
        <v>alto</v>
      </c>
      <c r="X236" s="5">
        <v>38500</v>
      </c>
      <c r="Y236" t="str">
        <f t="shared" si="46"/>
        <v>Positivo</v>
      </c>
      <c r="Z236" t="str">
        <f t="shared" si="47"/>
        <v>Positivo</v>
      </c>
      <c r="AA236" s="1">
        <f>IF(AND(Y236="Negativo",Z236="Negativo"),0,IF(AND(B236="Ativo",OR(Y236="Positivo",Z236="Positivo")),X236*8%,0))</f>
        <v>3080</v>
      </c>
    </row>
    <row r="237" spans="1:27">
      <c r="A237" s="2" t="s">
        <v>24</v>
      </c>
      <c r="B237" s="2" t="str">
        <f t="shared" si="36"/>
        <v>Ativo</v>
      </c>
      <c r="C237" s="2" t="s">
        <v>499</v>
      </c>
      <c r="D237" s="2" t="str">
        <f t="shared" si="37"/>
        <v>Brienne Dondarrion</v>
      </c>
      <c r="E237" s="2" t="s">
        <v>500</v>
      </c>
      <c r="F237" s="2" t="str">
        <f t="shared" si="38"/>
        <v>000.000.256-00</v>
      </c>
      <c r="G237" s="2">
        <v>39</v>
      </c>
      <c r="H237" s="2">
        <f ca="1">IF(G237="", DATEDIF(J237, TODAY(), "Y"), G237)</f>
        <v>39</v>
      </c>
      <c r="I237" s="6">
        <v>31814</v>
      </c>
      <c r="J237" s="6">
        <f t="shared" si="39"/>
        <v>31814</v>
      </c>
      <c r="K237" s="2" t="s">
        <v>92</v>
      </c>
      <c r="L237" s="2" t="str" cm="1">
        <f t="array" ref="L237">_xlfn.TEXTSPLIT(K237,"|")</f>
        <v>Ilha dos Ursos</v>
      </c>
      <c r="M237" s="2" t="s">
        <v>81</v>
      </c>
      <c r="N237" s="3">
        <v>9300</v>
      </c>
      <c r="O237" s="3">
        <f t="shared" si="40"/>
        <v>9300</v>
      </c>
      <c r="P237" s="4">
        <v>36500</v>
      </c>
      <c r="Q237" s="5">
        <f t="shared" si="41"/>
        <v>36500</v>
      </c>
      <c r="R237" s="2" t="s">
        <v>46</v>
      </c>
      <c r="S237" s="2" t="str">
        <f t="shared" si="42"/>
        <v>Não</v>
      </c>
      <c r="T237" s="2" t="str">
        <f t="shared" si="43"/>
        <v>Não</v>
      </c>
      <c r="V237" s="2">
        <f t="shared" si="44"/>
        <v>0</v>
      </c>
      <c r="W237" s="2" t="str">
        <f t="shared" si="45"/>
        <v>baixo</v>
      </c>
      <c r="X237" s="5">
        <v>3000</v>
      </c>
      <c r="Y237" t="str">
        <f t="shared" si="46"/>
        <v>Positivo</v>
      </c>
      <c r="Z237" t="str">
        <f t="shared" si="47"/>
        <v>Positivo</v>
      </c>
      <c r="AA237" s="1">
        <f>IF(AND(Y237="Negativo",Z237="Negativo"),0,IF(AND(B237="Ativo",OR(Y237="Positivo",Z237="Positivo")),X237*8%,0))</f>
        <v>240</v>
      </c>
    </row>
    <row r="238" spans="1:27">
      <c r="A238" s="2" t="s">
        <v>24</v>
      </c>
      <c r="B238" s="2" t="str">
        <f t="shared" si="36"/>
        <v>Ativo</v>
      </c>
      <c r="C238" s="2" t="s">
        <v>501</v>
      </c>
      <c r="D238" s="2" t="str">
        <f t="shared" si="37"/>
        <v>Missandei Glover</v>
      </c>
      <c r="E238" s="2">
        <v>30500</v>
      </c>
      <c r="F238" s="2" t="str">
        <f t="shared" si="38"/>
        <v>000.000.305-00</v>
      </c>
      <c r="G238" s="2">
        <v>62</v>
      </c>
      <c r="H238" s="2">
        <f ca="1">IF(G238="", DATEDIF(J238, TODAY(), "Y"), G238)</f>
        <v>62</v>
      </c>
      <c r="I238" s="2">
        <v>23278</v>
      </c>
      <c r="J238" s="6">
        <f t="shared" si="39"/>
        <v>23278</v>
      </c>
      <c r="K238" s="2" t="s">
        <v>80</v>
      </c>
      <c r="L238" s="2" t="str" cm="1">
        <f t="array" ref="L238">_xlfn.TEXTSPLIT(K238,"|")</f>
        <v>Castelo Negro</v>
      </c>
      <c r="M238" s="2" t="s">
        <v>81</v>
      </c>
      <c r="N238" s="3">
        <v>17000</v>
      </c>
      <c r="O238" s="3">
        <f t="shared" si="40"/>
        <v>17000</v>
      </c>
      <c r="P238" s="4">
        <v>64000</v>
      </c>
      <c r="Q238" s="5">
        <f t="shared" si="41"/>
        <v>64000</v>
      </c>
      <c r="R238" s="2" t="s">
        <v>29</v>
      </c>
      <c r="S238" s="2" t="str">
        <f t="shared" si="42"/>
        <v>Sim</v>
      </c>
      <c r="T238" s="2" t="str">
        <f t="shared" si="43"/>
        <v>Sim</v>
      </c>
      <c r="U238" s="2">
        <v>21</v>
      </c>
      <c r="V238" s="2">
        <f t="shared" si="44"/>
        <v>21</v>
      </c>
      <c r="W238" s="2" t="str">
        <f t="shared" si="45"/>
        <v>médio</v>
      </c>
      <c r="X238" s="5">
        <v>19000</v>
      </c>
      <c r="Y238" t="str">
        <f t="shared" si="46"/>
        <v>Positivo</v>
      </c>
      <c r="Z238" t="str">
        <f t="shared" si="47"/>
        <v>Negativo</v>
      </c>
      <c r="AA238" s="1">
        <f>IF(AND(Y238="Negativo",Z238="Negativo"),0,IF(AND(B238="Ativo",OR(Y238="Positivo",Z238="Positivo")),X238*8%,0))</f>
        <v>1520</v>
      </c>
    </row>
    <row r="239" spans="1:27">
      <c r="A239" s="2" t="s">
        <v>30</v>
      </c>
      <c r="B239" s="2" t="str">
        <f t="shared" si="36"/>
        <v>Inativo</v>
      </c>
      <c r="C239" s="2" t="s">
        <v>502</v>
      </c>
      <c r="D239" s="2" t="str">
        <f t="shared" si="37"/>
        <v>Bronn Manderly</v>
      </c>
      <c r="E239" s="2" t="s">
        <v>503</v>
      </c>
      <c r="F239" s="2" t="str">
        <f t="shared" si="38"/>
        <v>000.000.074-00</v>
      </c>
      <c r="G239" s="2">
        <v>69</v>
      </c>
      <c r="H239" s="2">
        <f ca="1">IF(G239="", DATEDIF(J239, TODAY(), "Y"), G239)</f>
        <v>69</v>
      </c>
      <c r="I239" s="2">
        <v>20785</v>
      </c>
      <c r="J239" s="6">
        <f t="shared" si="39"/>
        <v>20785</v>
      </c>
      <c r="K239" s="2" t="s">
        <v>80</v>
      </c>
      <c r="L239" s="2" t="str" cm="1">
        <f t="array" ref="L239">_xlfn.TEXTSPLIT(K239,"|")</f>
        <v>Castelo Negro</v>
      </c>
      <c r="M239" s="2" t="s">
        <v>93</v>
      </c>
      <c r="N239" s="3">
        <v>16000</v>
      </c>
      <c r="O239" s="3">
        <f t="shared" si="40"/>
        <v>16000</v>
      </c>
      <c r="P239" s="4">
        <v>48000</v>
      </c>
      <c r="Q239" s="5">
        <f t="shared" si="41"/>
        <v>48000</v>
      </c>
      <c r="R239" s="2" t="s">
        <v>46</v>
      </c>
      <c r="S239" s="2" t="str">
        <f t="shared" si="42"/>
        <v>Não</v>
      </c>
      <c r="T239" s="2" t="str">
        <f t="shared" si="43"/>
        <v>Não</v>
      </c>
      <c r="U239" s="2">
        <v>29</v>
      </c>
      <c r="V239" s="2">
        <f t="shared" si="44"/>
        <v>29</v>
      </c>
      <c r="W239" s="2" t="str">
        <f t="shared" si="45"/>
        <v>alto</v>
      </c>
      <c r="X239" s="5">
        <v>74500</v>
      </c>
      <c r="Y239" t="str">
        <f t="shared" si="46"/>
        <v>Positivo</v>
      </c>
      <c r="Z239" t="str">
        <f t="shared" si="47"/>
        <v>Positivo</v>
      </c>
      <c r="AA239" s="1">
        <f>IF(AND(Y239="Negativo",Z239="Negativo"),0,IF(AND(B239="Ativo",OR(Y239="Positivo",Z239="Positivo")),X239*8%,0))</f>
        <v>0</v>
      </c>
    </row>
    <row r="240" spans="1:27">
      <c r="A240" s="2" t="s">
        <v>30</v>
      </c>
      <c r="B240" s="2" t="str">
        <f t="shared" si="36"/>
        <v>Inativo</v>
      </c>
      <c r="C240" s="2" t="s">
        <v>504</v>
      </c>
      <c r="D240" s="2" t="str">
        <f t="shared" si="37"/>
        <v>Aegon Florent</v>
      </c>
      <c r="E240" s="2">
        <v>27100</v>
      </c>
      <c r="F240" s="2" t="str">
        <f t="shared" si="38"/>
        <v>000.000.271-00</v>
      </c>
      <c r="G240" s="2">
        <v>55</v>
      </c>
      <c r="H240" s="2">
        <f ca="1">IF(G240="", DATEDIF(J240, TODAY(), "Y"), G240)</f>
        <v>55</v>
      </c>
      <c r="I240" s="6">
        <v>25895</v>
      </c>
      <c r="J240" s="6">
        <f t="shared" si="39"/>
        <v>25895</v>
      </c>
      <c r="K240" s="2" t="s">
        <v>63</v>
      </c>
      <c r="L240" s="2" t="str" cm="1">
        <f t="array" ref="L240">_xlfn.TEXTSPLIT(K240,"|")</f>
        <v>Meereen</v>
      </c>
      <c r="M240" s="2" t="s">
        <v>64</v>
      </c>
      <c r="N240" s="3">
        <v>6800</v>
      </c>
      <c r="O240" s="3">
        <f t="shared" si="40"/>
        <v>6800</v>
      </c>
      <c r="P240" s="4">
        <v>12000</v>
      </c>
      <c r="Q240" s="5">
        <f t="shared" si="41"/>
        <v>12000</v>
      </c>
      <c r="R240" s="2" t="s">
        <v>46</v>
      </c>
      <c r="S240" s="2" t="str">
        <f t="shared" si="42"/>
        <v>Não</v>
      </c>
      <c r="T240" s="2" t="str">
        <f t="shared" si="43"/>
        <v>Não</v>
      </c>
      <c r="U240" s="2">
        <v>6</v>
      </c>
      <c r="V240" s="2">
        <f t="shared" si="44"/>
        <v>6</v>
      </c>
      <c r="W240" s="2" t="str">
        <f t="shared" si="45"/>
        <v>baixo</v>
      </c>
      <c r="X240" s="5">
        <v>11000</v>
      </c>
      <c r="Y240" t="str">
        <f t="shared" si="46"/>
        <v>Positivo</v>
      </c>
      <c r="Z240" t="str">
        <f t="shared" si="47"/>
        <v>Positivo</v>
      </c>
      <c r="AA240" s="1">
        <f>IF(AND(Y240="Negativo",Z240="Negativo"),0,IF(AND(B240="Ativo",OR(Y240="Positivo",Z240="Positivo")),X240*8%,0))</f>
        <v>0</v>
      </c>
    </row>
    <row r="241" spans="1:27">
      <c r="A241" s="2" t="s">
        <v>24</v>
      </c>
      <c r="B241" s="2" t="str">
        <f t="shared" si="36"/>
        <v>Ativo</v>
      </c>
      <c r="C241" s="2" t="s">
        <v>505</v>
      </c>
      <c r="D241" s="2" t="str">
        <f t="shared" si="37"/>
        <v>Daario  Dayne</v>
      </c>
      <c r="E241" s="2" t="s">
        <v>506</v>
      </c>
      <c r="F241" s="2" t="str">
        <f t="shared" si="38"/>
        <v>000.000.144-00</v>
      </c>
      <c r="G241" s="2">
        <v>25</v>
      </c>
      <c r="H241" s="2">
        <f ca="1">IF(G241="", DATEDIF(J241, TODAY(), "Y"), G241)</f>
        <v>25</v>
      </c>
      <c r="I241" s="6">
        <v>37026</v>
      </c>
      <c r="J241" s="6">
        <f t="shared" si="39"/>
        <v>37026</v>
      </c>
      <c r="K241" s="2" t="s">
        <v>229</v>
      </c>
      <c r="L241" s="2" t="str" cm="1">
        <f t="array" ref="L241">_xlfn.TEXTSPLIT(K241,"|")</f>
        <v>Solar do Entardecer</v>
      </c>
      <c r="M241" s="2" t="s">
        <v>33</v>
      </c>
      <c r="N241" s="3">
        <v>28200</v>
      </c>
      <c r="O241" s="3">
        <f t="shared" si="40"/>
        <v>28200</v>
      </c>
      <c r="P241" s="4">
        <v>0</v>
      </c>
      <c r="Q241" s="5">
        <f t="shared" si="41"/>
        <v>0</v>
      </c>
      <c r="R241" s="2" t="s">
        <v>46</v>
      </c>
      <c r="S241" s="2" t="str">
        <f t="shared" si="42"/>
        <v>Não</v>
      </c>
      <c r="T241" s="2" t="str">
        <f t="shared" si="43"/>
        <v>Não</v>
      </c>
      <c r="U241" s="2">
        <v>29</v>
      </c>
      <c r="V241" s="2">
        <f t="shared" si="44"/>
        <v>29</v>
      </c>
      <c r="W241" s="2" t="str">
        <f t="shared" si="45"/>
        <v>alto</v>
      </c>
      <c r="X241" s="5">
        <v>92500</v>
      </c>
      <c r="Y241" t="str">
        <f t="shared" si="46"/>
        <v>Positivo</v>
      </c>
      <c r="Z241" t="str">
        <f t="shared" si="47"/>
        <v>Positivo</v>
      </c>
      <c r="AA241" s="1">
        <f>IF(AND(Y241="Negativo",Z241="Negativo"),0,IF(AND(B241="Ativo",OR(Y241="Positivo",Z241="Positivo")),X241*8%,0))</f>
        <v>7400</v>
      </c>
    </row>
    <row r="242" spans="1:27">
      <c r="A242" s="2" t="s">
        <v>30</v>
      </c>
      <c r="B242" s="2" t="str">
        <f t="shared" si="36"/>
        <v>Inativo</v>
      </c>
      <c r="C242" s="2" t="s">
        <v>283</v>
      </c>
      <c r="D242" s="2" t="str">
        <f t="shared" si="37"/>
        <v>Roose Cerwyn</v>
      </c>
      <c r="E242" s="2">
        <v>34900</v>
      </c>
      <c r="F242" s="2" t="str">
        <f t="shared" si="38"/>
        <v>000.000.349-00</v>
      </c>
      <c r="G242" s="2">
        <v>32</v>
      </c>
      <c r="H242" s="2">
        <f ca="1">IF(G242="", DATEDIF(J242, TODAY(), "Y"), G242)</f>
        <v>32</v>
      </c>
      <c r="I242" s="2">
        <v>34387</v>
      </c>
      <c r="J242" s="6">
        <f t="shared" si="39"/>
        <v>34387</v>
      </c>
      <c r="K242" s="2" t="s">
        <v>80</v>
      </c>
      <c r="L242" s="2" t="str" cm="1">
        <f t="array" ref="L242">_xlfn.TEXTSPLIT(K242,"|")</f>
        <v>Castelo Negro</v>
      </c>
      <c r="M242" s="2" t="s">
        <v>81</v>
      </c>
      <c r="N242" s="3">
        <v>20500</v>
      </c>
      <c r="O242" s="3">
        <f t="shared" si="40"/>
        <v>20500</v>
      </c>
      <c r="P242" s="4">
        <v>0</v>
      </c>
      <c r="Q242" s="5">
        <f t="shared" si="41"/>
        <v>0</v>
      </c>
      <c r="R242" s="2" t="s">
        <v>46</v>
      </c>
      <c r="S242" s="2" t="str">
        <f t="shared" si="42"/>
        <v>Não</v>
      </c>
      <c r="T242" s="2" t="str">
        <f t="shared" si="43"/>
        <v>Não</v>
      </c>
      <c r="U242" s="2">
        <v>41</v>
      </c>
      <c r="V242" s="2">
        <f t="shared" si="44"/>
        <v>41</v>
      </c>
      <c r="W242" s="2" t="str">
        <f t="shared" si="45"/>
        <v>alto</v>
      </c>
      <c r="X242" s="5">
        <v>54500</v>
      </c>
      <c r="Y242" t="str">
        <f t="shared" si="46"/>
        <v>Positivo</v>
      </c>
      <c r="Z242" t="str">
        <f t="shared" si="47"/>
        <v>Positivo</v>
      </c>
      <c r="AA242" s="1">
        <f>IF(AND(Y242="Negativo",Z242="Negativo"),0,IF(AND(B242="Ativo",OR(Y242="Positivo",Z242="Positivo")),X242*8%,0))</f>
        <v>0</v>
      </c>
    </row>
    <row r="243" spans="1:27">
      <c r="A243" s="2" t="s">
        <v>24</v>
      </c>
      <c r="B243" s="2" t="str">
        <f t="shared" si="36"/>
        <v>Ativo</v>
      </c>
      <c r="C243" s="2" t="s">
        <v>507</v>
      </c>
      <c r="D243" s="2" t="str">
        <f t="shared" si="37"/>
        <v>Roose Dondarrion</v>
      </c>
      <c r="E243" s="2" t="s">
        <v>508</v>
      </c>
      <c r="F243" s="2" t="str">
        <f t="shared" si="38"/>
        <v>000.000.126-00</v>
      </c>
      <c r="G243" s="2">
        <v>53</v>
      </c>
      <c r="H243" s="2">
        <f ca="1">IF(G243="", DATEDIF(J243, TODAY(), "Y"), G243)</f>
        <v>53</v>
      </c>
      <c r="I243" s="2">
        <v>26620</v>
      </c>
      <c r="J243" s="6">
        <f t="shared" si="39"/>
        <v>26620</v>
      </c>
      <c r="K243" s="2" t="s">
        <v>27</v>
      </c>
      <c r="L243" s="2" t="str" cm="1">
        <f t="array" ref="L243">_xlfn.TEXTSPLIT(K243,"|")</f>
        <v>Ninho da Águia</v>
      </c>
      <c r="M243" s="2" t="s">
        <v>45</v>
      </c>
      <c r="N243" s="3">
        <v>21300</v>
      </c>
      <c r="O243" s="3">
        <f t="shared" si="40"/>
        <v>21300</v>
      </c>
      <c r="P243" s="4">
        <v>79500</v>
      </c>
      <c r="Q243" s="5">
        <f t="shared" si="41"/>
        <v>79500</v>
      </c>
      <c r="R243" s="2" t="s">
        <v>46</v>
      </c>
      <c r="S243" s="2" t="str">
        <f t="shared" si="42"/>
        <v>Não</v>
      </c>
      <c r="T243" s="2" t="str">
        <f t="shared" si="43"/>
        <v>Não</v>
      </c>
      <c r="U243" s="2">
        <v>18</v>
      </c>
      <c r="V243" s="2">
        <f t="shared" si="44"/>
        <v>18</v>
      </c>
      <c r="W243" s="2" t="str">
        <f t="shared" si="45"/>
        <v>médio</v>
      </c>
      <c r="X243" s="5">
        <v>19000</v>
      </c>
      <c r="Y243" t="str">
        <f t="shared" si="46"/>
        <v>Positivo</v>
      </c>
      <c r="Z243" t="str">
        <f t="shared" si="47"/>
        <v>Positivo</v>
      </c>
      <c r="AA243" s="1">
        <f>IF(AND(Y243="Negativo",Z243="Negativo"),0,IF(AND(B243="Ativo",OR(Y243="Positivo",Z243="Positivo")),X243*8%,0))</f>
        <v>1520</v>
      </c>
    </row>
    <row r="244" spans="1:27">
      <c r="A244" s="2" t="s">
        <v>24</v>
      </c>
      <c r="B244" s="2" t="str">
        <f t="shared" si="36"/>
        <v>Ativo</v>
      </c>
      <c r="C244" s="2" t="s">
        <v>509</v>
      </c>
      <c r="D244" s="2" t="str">
        <f t="shared" si="37"/>
        <v>Stannis Greyjoy</v>
      </c>
      <c r="E244" s="2" t="s">
        <v>510</v>
      </c>
      <c r="F244" s="2" t="str">
        <f t="shared" si="38"/>
        <v>000.000.236-00</v>
      </c>
      <c r="G244" s="2">
        <v>69</v>
      </c>
      <c r="H244" s="2">
        <f ca="1">IF(G244="", DATEDIF(J244, TODAY(), "Y"), G244)</f>
        <v>69</v>
      </c>
      <c r="I244" s="6">
        <v>20943</v>
      </c>
      <c r="J244" s="6">
        <f t="shared" si="39"/>
        <v>20943</v>
      </c>
      <c r="K244" s="2" t="s">
        <v>429</v>
      </c>
      <c r="L244" s="2" t="str" cm="1">
        <f t="array" ref="L244:M244">_xlfn.TEXTSPLIT(K244,"|")</f>
        <v xml:space="preserve">Pedra do Dragão </v>
      </c>
      <c r="M244" s="2" t="str">
        <v xml:space="preserve"> Terras da Coroa</v>
      </c>
      <c r="N244" s="3">
        <v>13800</v>
      </c>
      <c r="O244" s="3">
        <f t="shared" si="40"/>
        <v>13800</v>
      </c>
      <c r="P244" s="4">
        <v>62000</v>
      </c>
      <c r="Q244" s="5">
        <f t="shared" si="41"/>
        <v>62000</v>
      </c>
      <c r="R244" s="2" t="s">
        <v>46</v>
      </c>
      <c r="S244" s="2" t="str">
        <f t="shared" si="42"/>
        <v>Não</v>
      </c>
      <c r="T244" s="2" t="str">
        <f t="shared" si="43"/>
        <v>Não</v>
      </c>
      <c r="U244" s="2">
        <v>31</v>
      </c>
      <c r="V244" s="2">
        <f t="shared" si="44"/>
        <v>31</v>
      </c>
      <c r="W244" s="2" t="str">
        <f t="shared" si="45"/>
        <v>alto</v>
      </c>
      <c r="X244" s="5">
        <v>60500</v>
      </c>
      <c r="Y244" t="str">
        <f t="shared" si="46"/>
        <v>Positivo</v>
      </c>
      <c r="Z244" t="str">
        <f t="shared" si="47"/>
        <v>Positivo</v>
      </c>
      <c r="AA244" s="1">
        <f>IF(AND(Y244="Negativo",Z244="Negativo"),0,IF(AND(B244="Ativo",OR(Y244="Positivo",Z244="Positivo")),X244*8%,0))</f>
        <v>4840</v>
      </c>
    </row>
    <row r="245" spans="1:27">
      <c r="A245" s="2" t="s">
        <v>24</v>
      </c>
      <c r="B245" s="2" t="str">
        <f t="shared" si="36"/>
        <v>Ativo</v>
      </c>
      <c r="C245" s="2" t="s">
        <v>511</v>
      </c>
      <c r="D245" s="2" t="str">
        <f t="shared" si="37"/>
        <v>Thoros Greyjoy</v>
      </c>
      <c r="E245" s="2" t="s">
        <v>512</v>
      </c>
      <c r="F245" s="2" t="str">
        <f t="shared" si="38"/>
        <v>000.000.043-00</v>
      </c>
      <c r="G245" s="2">
        <v>27</v>
      </c>
      <c r="H245" s="2">
        <f ca="1">IF(G245="", DATEDIF(J245, TODAY(), "Y"), G245)</f>
        <v>27</v>
      </c>
      <c r="I245" s="2">
        <v>36316</v>
      </c>
      <c r="J245" s="6">
        <f t="shared" si="39"/>
        <v>36316</v>
      </c>
      <c r="K245" s="2" t="s">
        <v>86</v>
      </c>
      <c r="L245" s="2" t="str" cm="1">
        <f t="array" ref="L245">_xlfn.TEXTSPLIT(K245,"|")</f>
        <v>Vilavelha</v>
      </c>
      <c r="M245" s="2" t="s">
        <v>152</v>
      </c>
      <c r="N245" s="3">
        <v>10700</v>
      </c>
      <c r="O245" s="3">
        <f t="shared" si="40"/>
        <v>10700</v>
      </c>
      <c r="P245" s="4">
        <v>60000</v>
      </c>
      <c r="Q245" s="5">
        <f t="shared" si="41"/>
        <v>60000</v>
      </c>
      <c r="R245" s="2" t="s">
        <v>46</v>
      </c>
      <c r="S245" s="2" t="str">
        <f t="shared" si="42"/>
        <v>Não</v>
      </c>
      <c r="T245" s="2" t="str">
        <f t="shared" si="43"/>
        <v>Não</v>
      </c>
      <c r="U245" s="2">
        <v>44</v>
      </c>
      <c r="V245" s="2">
        <f t="shared" si="44"/>
        <v>44</v>
      </c>
      <c r="W245" s="2" t="str">
        <f t="shared" si="45"/>
        <v>alto</v>
      </c>
      <c r="X245" s="5">
        <v>48000</v>
      </c>
      <c r="Y245" t="str">
        <f t="shared" si="46"/>
        <v>Positivo</v>
      </c>
      <c r="Z245" t="str">
        <f t="shared" si="47"/>
        <v>Positivo</v>
      </c>
      <c r="AA245" s="1">
        <f>IF(AND(Y245="Negativo",Z245="Negativo"),0,IF(AND(B245="Ativo",OR(Y245="Positivo",Z245="Positivo")),X245*8%,0))</f>
        <v>3840</v>
      </c>
    </row>
    <row r="246" spans="1:27">
      <c r="A246" s="2" t="s">
        <v>24</v>
      </c>
      <c r="B246" s="2" t="str">
        <f t="shared" si="36"/>
        <v>Ativo</v>
      </c>
      <c r="C246" s="2" t="s">
        <v>513</v>
      </c>
      <c r="D246" s="2" t="str">
        <f t="shared" si="37"/>
        <v>Thoros Crakehall</v>
      </c>
      <c r="E246" s="2">
        <v>19300</v>
      </c>
      <c r="F246" s="2" t="str">
        <f t="shared" si="38"/>
        <v>000.000.193-00</v>
      </c>
      <c r="G246" s="2">
        <v>74</v>
      </c>
      <c r="H246" s="2">
        <f ca="1">IF(G246="", DATEDIF(J246, TODAY(), "Y"), G246)</f>
        <v>74</v>
      </c>
      <c r="I246" s="6">
        <v>19131</v>
      </c>
      <c r="J246" s="6">
        <f t="shared" si="39"/>
        <v>19131</v>
      </c>
      <c r="K246" s="2" t="s">
        <v>158</v>
      </c>
      <c r="L246" s="2" t="str" cm="1">
        <f t="array" ref="L246">_xlfn.TEXTSPLIT(K246,"|")</f>
        <v>Porto Real</v>
      </c>
      <c r="M246" s="2" t="s">
        <v>253</v>
      </c>
      <c r="N246" s="3">
        <v>20700</v>
      </c>
      <c r="O246" s="3">
        <f t="shared" si="40"/>
        <v>20700</v>
      </c>
      <c r="P246" s="4">
        <v>17500</v>
      </c>
      <c r="Q246" s="5">
        <f t="shared" si="41"/>
        <v>17500</v>
      </c>
      <c r="R246" s="2" t="s">
        <v>46</v>
      </c>
      <c r="S246" s="2" t="str">
        <f t="shared" si="42"/>
        <v>Não</v>
      </c>
      <c r="T246" s="2" t="str">
        <f t="shared" si="43"/>
        <v>Não</v>
      </c>
      <c r="U246" s="2">
        <v>35</v>
      </c>
      <c r="V246" s="2">
        <f t="shared" si="44"/>
        <v>35</v>
      </c>
      <c r="W246" s="2" t="str">
        <f t="shared" si="45"/>
        <v>alto</v>
      </c>
      <c r="X246" s="5">
        <v>65000</v>
      </c>
      <c r="Y246" t="str">
        <f t="shared" si="46"/>
        <v>Positivo</v>
      </c>
      <c r="Z246" t="str">
        <f t="shared" si="47"/>
        <v>Positivo</v>
      </c>
      <c r="AA246" s="1">
        <f>IF(AND(Y246="Negativo",Z246="Negativo"),0,IF(AND(B246="Ativo",OR(Y246="Positivo",Z246="Positivo")),X246*8%,0))</f>
        <v>5200</v>
      </c>
    </row>
    <row r="247" spans="1:27">
      <c r="A247" s="2" t="s">
        <v>188</v>
      </c>
      <c r="B247" s="2" t="str">
        <f t="shared" si="36"/>
        <v>Ativo</v>
      </c>
      <c r="C247" s="2" t="s">
        <v>514</v>
      </c>
      <c r="D247" s="2" t="str">
        <f t="shared" si="37"/>
        <v>Viserys  Umber</v>
      </c>
      <c r="E247" s="2" t="s">
        <v>515</v>
      </c>
      <c r="F247" s="2" t="str">
        <f t="shared" si="38"/>
        <v>000.000.155-00</v>
      </c>
      <c r="H247" s="2">
        <f ca="1">IF(G247="", DATEDIF(J247, TODAY(), "Y"), G247)</f>
        <v>19</v>
      </c>
      <c r="I247" s="2">
        <v>39230</v>
      </c>
      <c r="J247" s="6">
        <f t="shared" si="39"/>
        <v>39230</v>
      </c>
      <c r="K247" s="2" t="s">
        <v>110</v>
      </c>
      <c r="L247" s="2" t="str" cm="1">
        <f t="array" ref="L247">_xlfn.TEXTSPLIT(K247,"|")</f>
        <v>Jardim de Cima</v>
      </c>
      <c r="M247" s="2" t="s">
        <v>87</v>
      </c>
      <c r="N247" s="3">
        <v>18000</v>
      </c>
      <c r="O247" s="3">
        <f t="shared" si="40"/>
        <v>18000</v>
      </c>
      <c r="P247" s="4">
        <v>49500</v>
      </c>
      <c r="Q247" s="5">
        <f t="shared" si="41"/>
        <v>49500</v>
      </c>
      <c r="R247" s="2" t="s">
        <v>46</v>
      </c>
      <c r="S247" s="2" t="str">
        <f t="shared" si="42"/>
        <v>Não</v>
      </c>
      <c r="T247" s="2" t="str">
        <f t="shared" si="43"/>
        <v>Não</v>
      </c>
      <c r="U247" s="2">
        <v>25</v>
      </c>
      <c r="V247" s="2">
        <f t="shared" si="44"/>
        <v>25</v>
      </c>
      <c r="W247" s="2" t="str">
        <f t="shared" si="45"/>
        <v>médio</v>
      </c>
      <c r="X247" s="5">
        <v>46500</v>
      </c>
      <c r="Y247" t="str">
        <f t="shared" si="46"/>
        <v>Positivo</v>
      </c>
      <c r="Z247" t="str">
        <f t="shared" si="47"/>
        <v>Positivo</v>
      </c>
      <c r="AA247" s="1">
        <f>IF(AND(Y247="Negativo",Z247="Negativo"),0,IF(AND(B247="Ativo",OR(Y247="Positivo",Z247="Positivo")),X247*8%,0))</f>
        <v>3720</v>
      </c>
    </row>
    <row r="248" spans="1:27">
      <c r="A248" s="2" t="s">
        <v>30</v>
      </c>
      <c r="B248" s="2" t="str">
        <f t="shared" si="36"/>
        <v>Inativo</v>
      </c>
      <c r="C248" s="2" t="s">
        <v>472</v>
      </c>
      <c r="D248" s="2" t="str">
        <f t="shared" si="37"/>
        <v>Grey Worm Hornwood</v>
      </c>
      <c r="E248" s="2" t="s">
        <v>473</v>
      </c>
      <c r="F248" s="2" t="str">
        <f t="shared" si="38"/>
        <v>000.000.322-00</v>
      </c>
      <c r="G248" s="2">
        <v>26</v>
      </c>
      <c r="H248" s="2">
        <f ca="1">IF(G248="", DATEDIF(J248, TODAY(), "Y"), G248)</f>
        <v>26</v>
      </c>
      <c r="I248" s="2">
        <v>36540</v>
      </c>
      <c r="J248" s="6">
        <f t="shared" si="39"/>
        <v>36540</v>
      </c>
      <c r="K248" s="2" t="s">
        <v>36</v>
      </c>
      <c r="L248" s="2" t="str" cm="1">
        <f t="array" ref="L248">_xlfn.TEXTSPLIT(K248,"|")</f>
        <v>Pedra do Dragão</v>
      </c>
      <c r="M248" s="2" t="s">
        <v>103</v>
      </c>
      <c r="N248" s="3">
        <v>24000</v>
      </c>
      <c r="O248" s="3">
        <f t="shared" si="40"/>
        <v>24000</v>
      </c>
      <c r="P248" s="4">
        <v>52000</v>
      </c>
      <c r="Q248" s="5">
        <f t="shared" si="41"/>
        <v>52000</v>
      </c>
      <c r="R248" s="2" t="s">
        <v>46</v>
      </c>
      <c r="S248" s="2" t="str">
        <f t="shared" si="42"/>
        <v>Não</v>
      </c>
      <c r="T248" s="2" t="str">
        <f t="shared" si="43"/>
        <v>Não</v>
      </c>
      <c r="U248" s="2">
        <v>30</v>
      </c>
      <c r="V248" s="2">
        <f t="shared" si="44"/>
        <v>30</v>
      </c>
      <c r="W248" s="2" t="str">
        <f t="shared" si="45"/>
        <v>alto</v>
      </c>
      <c r="X248" s="5">
        <v>11500</v>
      </c>
      <c r="Y248" t="str">
        <f t="shared" si="46"/>
        <v>Positivo</v>
      </c>
      <c r="Z248" t="str">
        <f t="shared" si="47"/>
        <v>Positivo</v>
      </c>
      <c r="AA248" s="1">
        <f>IF(AND(Y248="Negativo",Z248="Negativo"),0,IF(AND(B248="Ativo",OR(Y248="Positivo",Z248="Positivo")),X248*8%,0))</f>
        <v>0</v>
      </c>
    </row>
    <row r="249" spans="1:27">
      <c r="A249" s="2" t="s">
        <v>24</v>
      </c>
      <c r="B249" s="2" t="str">
        <f t="shared" si="36"/>
        <v>Ativo</v>
      </c>
      <c r="C249" s="2" t="s">
        <v>516</v>
      </c>
      <c r="D249" s="2" t="str">
        <f t="shared" si="37"/>
        <v>Cersei Greyjoy</v>
      </c>
      <c r="E249" s="2" t="s">
        <v>517</v>
      </c>
      <c r="F249" s="2" t="str">
        <f t="shared" si="38"/>
        <v>000.000.265-00</v>
      </c>
      <c r="G249" s="2">
        <v>47</v>
      </c>
      <c r="H249" s="2">
        <f ca="1">IF(G249="", DATEDIF(J249, TODAY(), "Y"), G249)</f>
        <v>47</v>
      </c>
      <c r="I249" s="6">
        <v>28841</v>
      </c>
      <c r="J249" s="6">
        <f t="shared" si="39"/>
        <v>28841</v>
      </c>
      <c r="K249" s="2" t="s">
        <v>121</v>
      </c>
      <c r="L249" s="2" t="str" cm="1">
        <f t="array" ref="L249">_xlfn.TEXTSPLIT(K249,"|")</f>
        <v>Dorne</v>
      </c>
      <c r="M249" s="2" t="s">
        <v>121</v>
      </c>
      <c r="N249" s="3">
        <v>21300</v>
      </c>
      <c r="O249" s="3">
        <f t="shared" si="40"/>
        <v>21300</v>
      </c>
      <c r="P249" s="4">
        <v>62000</v>
      </c>
      <c r="Q249" s="5">
        <f t="shared" si="41"/>
        <v>62000</v>
      </c>
      <c r="R249" s="2" t="s">
        <v>29</v>
      </c>
      <c r="S249" s="2" t="str">
        <f t="shared" si="42"/>
        <v>Sim</v>
      </c>
      <c r="T249" s="2" t="str">
        <f t="shared" si="43"/>
        <v>Sim</v>
      </c>
      <c r="U249" s="2">
        <v>37</v>
      </c>
      <c r="V249" s="2">
        <f t="shared" si="44"/>
        <v>37</v>
      </c>
      <c r="W249" s="2" t="str">
        <f t="shared" si="45"/>
        <v>alto</v>
      </c>
      <c r="X249" s="5">
        <v>92500</v>
      </c>
      <c r="Y249" t="str">
        <f t="shared" si="46"/>
        <v>Negativo</v>
      </c>
      <c r="Z249" t="str">
        <f t="shared" si="47"/>
        <v>Negativo</v>
      </c>
      <c r="AA249" s="1">
        <f>IF(AND(Y249="Negativo",Z249="Negativo"),0,IF(AND(B249="Ativo",OR(Y249="Positivo",Z249="Positivo")),X249*8%,0))</f>
        <v>0</v>
      </c>
    </row>
    <row r="250" spans="1:27">
      <c r="A250" s="2" t="s">
        <v>24</v>
      </c>
      <c r="B250" s="2" t="str">
        <f t="shared" si="36"/>
        <v>Ativo</v>
      </c>
      <c r="C250" s="2" t="s">
        <v>518</v>
      </c>
      <c r="D250" s="2" t="str">
        <f t="shared" si="37"/>
        <v>Tormund Tyrell</v>
      </c>
      <c r="E250" s="2" t="s">
        <v>519</v>
      </c>
      <c r="F250" s="2" t="str">
        <f t="shared" si="38"/>
        <v>000.000.378-00</v>
      </c>
      <c r="G250" s="2">
        <v>34</v>
      </c>
      <c r="H250" s="2">
        <f ca="1">IF(G250="", DATEDIF(J250, TODAY(), "Y"), G250)</f>
        <v>34</v>
      </c>
      <c r="I250" s="2">
        <v>33746</v>
      </c>
      <c r="J250" s="6">
        <f t="shared" si="39"/>
        <v>33746</v>
      </c>
      <c r="K250" s="2" t="s">
        <v>121</v>
      </c>
      <c r="L250" s="2" t="str" cm="1">
        <f t="array" ref="L250">_xlfn.TEXTSPLIT(K250,"|")</f>
        <v>Dorne</v>
      </c>
      <c r="M250" s="2" t="s">
        <v>121</v>
      </c>
      <c r="N250" s="3">
        <v>28900</v>
      </c>
      <c r="O250" s="3">
        <f t="shared" si="40"/>
        <v>28900</v>
      </c>
      <c r="P250" s="4">
        <v>37000</v>
      </c>
      <c r="Q250" s="5">
        <f t="shared" si="41"/>
        <v>37000</v>
      </c>
      <c r="R250" s="2" t="s">
        <v>46</v>
      </c>
      <c r="S250" s="2" t="str">
        <f t="shared" si="42"/>
        <v>Não</v>
      </c>
      <c r="T250" s="2" t="str">
        <f t="shared" si="43"/>
        <v>Não</v>
      </c>
      <c r="U250" s="2">
        <v>21</v>
      </c>
      <c r="V250" s="2">
        <f t="shared" si="44"/>
        <v>21</v>
      </c>
      <c r="W250" s="2" t="str">
        <f t="shared" si="45"/>
        <v>médio</v>
      </c>
      <c r="X250" s="5">
        <v>97500</v>
      </c>
      <c r="Y250" t="str">
        <f t="shared" si="46"/>
        <v>Positivo</v>
      </c>
      <c r="Z250" t="str">
        <f t="shared" si="47"/>
        <v>Positivo</v>
      </c>
      <c r="AA250" s="1">
        <f>IF(AND(Y250="Negativo",Z250="Negativo"),0,IF(AND(B250="Ativo",OR(Y250="Positivo",Z250="Positivo")),X250*8%,0))</f>
        <v>7800</v>
      </c>
    </row>
    <row r="251" spans="1:27">
      <c r="A251" s="2" t="s">
        <v>24</v>
      </c>
      <c r="B251" s="2" t="str">
        <f t="shared" si="36"/>
        <v>Ativo</v>
      </c>
      <c r="C251" s="2" t="s">
        <v>520</v>
      </c>
      <c r="D251" s="2" t="str">
        <f t="shared" si="37"/>
        <v>Bronn Stark</v>
      </c>
      <c r="E251" s="2" t="s">
        <v>521</v>
      </c>
      <c r="F251" s="2" t="str">
        <f t="shared" si="38"/>
        <v>000.000.313-00</v>
      </c>
      <c r="G251" s="2">
        <v>30</v>
      </c>
      <c r="H251" s="2">
        <f ca="1">IF(G251="", DATEDIF(J251, TODAY(), "Y"), G251)</f>
        <v>30</v>
      </c>
      <c r="I251" s="6">
        <v>35180</v>
      </c>
      <c r="J251" s="6">
        <f t="shared" si="39"/>
        <v>35180</v>
      </c>
      <c r="K251" s="2" t="s">
        <v>92</v>
      </c>
      <c r="L251" s="2" t="str" cm="1">
        <f t="array" ref="L251">_xlfn.TEXTSPLIT(K251,"|")</f>
        <v>Ilha dos Ursos</v>
      </c>
      <c r="M251" s="2" t="s">
        <v>81</v>
      </c>
      <c r="N251" s="3">
        <v>13800</v>
      </c>
      <c r="O251" s="3">
        <f t="shared" si="40"/>
        <v>13800</v>
      </c>
      <c r="P251" s="4">
        <v>42000</v>
      </c>
      <c r="Q251" s="5">
        <f t="shared" si="41"/>
        <v>42000</v>
      </c>
      <c r="S251" s="2" t="str">
        <f t="shared" si="42"/>
        <v/>
      </c>
      <c r="T251" s="2" t="str">
        <f t="shared" si="43"/>
        <v>Não</v>
      </c>
      <c r="U251" s="2">
        <v>29</v>
      </c>
      <c r="V251" s="2">
        <f t="shared" si="44"/>
        <v>29</v>
      </c>
      <c r="W251" s="2" t="str">
        <f t="shared" si="45"/>
        <v>alto</v>
      </c>
      <c r="X251" s="5">
        <v>7000</v>
      </c>
      <c r="Y251" t="str">
        <f t="shared" si="46"/>
        <v>Positivo</v>
      </c>
      <c r="Z251" t="str">
        <f t="shared" si="47"/>
        <v>Positivo</v>
      </c>
      <c r="AA251" s="1">
        <f>IF(AND(Y251="Negativo",Z251="Negativo"),0,IF(AND(B251="Ativo",OR(Y251="Positivo",Z251="Positivo")),X251*8%,0))</f>
        <v>560</v>
      </c>
    </row>
    <row r="252" spans="1:27">
      <c r="A252" s="2" t="s">
        <v>30</v>
      </c>
      <c r="B252" s="2" t="str">
        <f t="shared" si="36"/>
        <v>Inativo</v>
      </c>
      <c r="C252" s="2" t="s">
        <v>522</v>
      </c>
      <c r="D252" s="2" t="str">
        <f t="shared" si="37"/>
        <v>Tyrion Blackwood</v>
      </c>
      <c r="E252" s="2" t="s">
        <v>523</v>
      </c>
      <c r="F252" s="2" t="str">
        <f t="shared" si="38"/>
        <v>000.000.100-00</v>
      </c>
      <c r="G252" s="2">
        <v>67</v>
      </c>
      <c r="H252" s="2">
        <f ca="1">IF(G252="", DATEDIF(J252, TODAY(), "Y"), G252)</f>
        <v>67</v>
      </c>
      <c r="I252" s="6">
        <v>21674</v>
      </c>
      <c r="J252" s="6">
        <f t="shared" si="39"/>
        <v>21674</v>
      </c>
      <c r="K252" s="2" t="s">
        <v>174</v>
      </c>
      <c r="L252" s="2" t="str" cm="1">
        <f t="array" ref="L252">_xlfn.TEXTSPLIT(K252,"|")</f>
        <v>Atalaia da Água Cinzenta</v>
      </c>
      <c r="M252" s="2" t="s">
        <v>367</v>
      </c>
      <c r="N252" s="3">
        <v>15200</v>
      </c>
      <c r="O252" s="3">
        <f t="shared" si="40"/>
        <v>15200</v>
      </c>
      <c r="P252" s="4">
        <v>67500</v>
      </c>
      <c r="Q252" s="5">
        <f t="shared" si="41"/>
        <v>67500</v>
      </c>
      <c r="R252" s="2" t="s">
        <v>46</v>
      </c>
      <c r="S252" s="2" t="str">
        <f t="shared" si="42"/>
        <v>Não</v>
      </c>
      <c r="T252" s="2" t="str">
        <f t="shared" si="43"/>
        <v>Não</v>
      </c>
      <c r="U252" s="2">
        <v>12</v>
      </c>
      <c r="V252" s="2">
        <f t="shared" si="44"/>
        <v>12</v>
      </c>
      <c r="W252" s="2" t="str">
        <f t="shared" si="45"/>
        <v>médio</v>
      </c>
      <c r="X252" s="5">
        <v>97500</v>
      </c>
      <c r="Y252" t="str">
        <f t="shared" si="46"/>
        <v>Positivo</v>
      </c>
      <c r="Z252" t="str">
        <f t="shared" si="47"/>
        <v>Positivo</v>
      </c>
      <c r="AA252" s="1">
        <f>IF(AND(Y252="Negativo",Z252="Negativo"),0,IF(AND(B252="Ativo",OR(Y252="Positivo",Z252="Positivo")),X252*8%,0))</f>
        <v>0</v>
      </c>
    </row>
    <row r="253" spans="1:27">
      <c r="A253" s="2" t="s">
        <v>24</v>
      </c>
      <c r="B253" s="2" t="str">
        <f t="shared" si="36"/>
        <v>Ativo</v>
      </c>
      <c r="C253" s="2" t="s">
        <v>524</v>
      </c>
      <c r="D253" s="2" t="str">
        <f t="shared" si="37"/>
        <v>Brienne Westerling</v>
      </c>
      <c r="E253" s="2" t="s">
        <v>525</v>
      </c>
      <c r="F253" s="2" t="str">
        <f t="shared" si="38"/>
        <v>000.000.379-00</v>
      </c>
      <c r="G253" s="2">
        <v>59</v>
      </c>
      <c r="H253" s="2">
        <f ca="1">IF(G253="", DATEDIF(J253, TODAY(), "Y"), G253)</f>
        <v>59</v>
      </c>
      <c r="I253" s="6">
        <v>24578</v>
      </c>
      <c r="J253" s="6">
        <f t="shared" si="39"/>
        <v>24578</v>
      </c>
      <c r="K253" s="2" t="s">
        <v>174</v>
      </c>
      <c r="L253" s="2" t="str" cm="1">
        <f t="array" ref="L253">_xlfn.TEXTSPLIT(K253,"|")</f>
        <v>Atalaia da Água Cinzenta</v>
      </c>
      <c r="N253" s="3">
        <v>6600</v>
      </c>
      <c r="O253" s="3">
        <f t="shared" si="40"/>
        <v>6600</v>
      </c>
      <c r="P253" s="4">
        <v>50000</v>
      </c>
      <c r="Q253" s="5">
        <f t="shared" si="41"/>
        <v>50000</v>
      </c>
      <c r="R253" s="2" t="s">
        <v>29</v>
      </c>
      <c r="S253" s="2" t="str">
        <f t="shared" si="42"/>
        <v>Sim</v>
      </c>
      <c r="T253" s="2" t="str">
        <f t="shared" si="43"/>
        <v>Sim</v>
      </c>
      <c r="U253" s="2">
        <v>9</v>
      </c>
      <c r="V253" s="2">
        <f t="shared" si="44"/>
        <v>9</v>
      </c>
      <c r="W253" s="2" t="str">
        <f t="shared" si="45"/>
        <v>baixo</v>
      </c>
      <c r="X253" s="5">
        <v>25000</v>
      </c>
      <c r="Y253" t="str">
        <f t="shared" si="46"/>
        <v>Positivo</v>
      </c>
      <c r="Z253" t="str">
        <f t="shared" si="47"/>
        <v>Positivo</v>
      </c>
      <c r="AA253" s="1">
        <f>IF(AND(Y253="Negativo",Z253="Negativo"),0,IF(AND(B253="Ativo",OR(Y253="Positivo",Z253="Positivo")),X253*8%,0))</f>
        <v>2000</v>
      </c>
    </row>
    <row r="254" spans="1:27">
      <c r="A254" s="2" t="s">
        <v>30</v>
      </c>
      <c r="B254" s="2" t="str">
        <f t="shared" si="36"/>
        <v>Inativo</v>
      </c>
      <c r="C254" s="2" t="s">
        <v>526</v>
      </c>
      <c r="D254" s="2" t="str">
        <f t="shared" si="37"/>
        <v>Beric Manderly</v>
      </c>
      <c r="E254" s="2">
        <v>24300</v>
      </c>
      <c r="F254" s="2" t="str">
        <f t="shared" si="38"/>
        <v>000.000.243-00</v>
      </c>
      <c r="G254" s="2">
        <v>25</v>
      </c>
      <c r="H254" s="2">
        <f ca="1">IF(G254="", DATEDIF(J254, TODAY(), "Y"), G254)</f>
        <v>25</v>
      </c>
      <c r="I254" s="2">
        <v>37131</v>
      </c>
      <c r="J254" s="6">
        <f t="shared" si="39"/>
        <v>37131</v>
      </c>
      <c r="K254" s="2" t="s">
        <v>49</v>
      </c>
      <c r="L254" s="2" t="str" cm="1">
        <f t="array" ref="L254">_xlfn.TEXTSPLIT(K254,"|")</f>
        <v>Lannisporto</v>
      </c>
      <c r="M254" s="2" t="s">
        <v>53</v>
      </c>
      <c r="N254" s="3">
        <v>24500</v>
      </c>
      <c r="O254" s="3">
        <f t="shared" si="40"/>
        <v>24500</v>
      </c>
      <c r="P254" s="4" t="s">
        <v>38</v>
      </c>
      <c r="Q254" s="5" t="str">
        <f t="shared" si="41"/>
        <v>N/A</v>
      </c>
      <c r="R254" s="2">
        <v>0</v>
      </c>
      <c r="S254" s="2" t="str">
        <f t="shared" si="42"/>
        <v>não</v>
      </c>
      <c r="T254" s="2" t="str">
        <f t="shared" si="43"/>
        <v>Não</v>
      </c>
      <c r="U254" s="2">
        <v>0</v>
      </c>
      <c r="V254" s="2">
        <f t="shared" si="44"/>
        <v>0</v>
      </c>
      <c r="W254" s="2" t="str">
        <f t="shared" si="45"/>
        <v>baixo</v>
      </c>
      <c r="X254" s="5">
        <v>55000</v>
      </c>
      <c r="Y254" t="str">
        <f t="shared" si="46"/>
        <v>Positivo</v>
      </c>
      <c r="Z254" t="str">
        <f t="shared" si="47"/>
        <v>Negativo</v>
      </c>
      <c r="AA254" s="1">
        <f>IF(AND(Y254="Negativo",Z254="Negativo"),0,IF(AND(B254="Ativo",OR(Y254="Positivo",Z254="Positivo")),X254*8%,0))</f>
        <v>0</v>
      </c>
    </row>
    <row r="255" spans="1:27">
      <c r="A255" s="2" t="s">
        <v>24</v>
      </c>
      <c r="B255" s="2" t="str">
        <f t="shared" si="36"/>
        <v>Ativo</v>
      </c>
      <c r="C255" s="2" t="s">
        <v>527</v>
      </c>
      <c r="D255" s="2" t="str">
        <f t="shared" si="37"/>
        <v>Jojen Hornwood</v>
      </c>
      <c r="E255" s="2" t="s">
        <v>528</v>
      </c>
      <c r="F255" s="2" t="str">
        <f t="shared" si="38"/>
        <v>000.000.128-00</v>
      </c>
      <c r="H255" s="2">
        <f ca="1">IF(G255="", DATEDIF(J255, TODAY(), "Y"), G255)</f>
        <v>36</v>
      </c>
      <c r="I255" s="2">
        <v>32796</v>
      </c>
      <c r="J255" s="6">
        <f t="shared" si="39"/>
        <v>32796</v>
      </c>
      <c r="K255" s="2" t="s">
        <v>36</v>
      </c>
      <c r="L255" s="2" t="str" cm="1">
        <f t="array" ref="L255">_xlfn.TEXTSPLIT(K255,"|")</f>
        <v>Pedra do Dragão</v>
      </c>
      <c r="M255" s="2" t="s">
        <v>37</v>
      </c>
      <c r="N255" s="3">
        <v>28600</v>
      </c>
      <c r="O255" s="3">
        <f t="shared" si="40"/>
        <v>28600</v>
      </c>
      <c r="Q255" s="5">
        <f t="shared" si="41"/>
        <v>0</v>
      </c>
      <c r="R255" s="2" t="s">
        <v>46</v>
      </c>
      <c r="S255" s="2" t="str">
        <f t="shared" si="42"/>
        <v>Não</v>
      </c>
      <c r="T255" s="2" t="str">
        <f t="shared" si="43"/>
        <v>Não</v>
      </c>
      <c r="U255" s="2">
        <v>19</v>
      </c>
      <c r="V255" s="2">
        <f t="shared" si="44"/>
        <v>19</v>
      </c>
      <c r="W255" s="2" t="str">
        <f t="shared" si="45"/>
        <v>médio</v>
      </c>
      <c r="X255" s="5">
        <v>90000</v>
      </c>
      <c r="Y255" t="str">
        <f t="shared" si="46"/>
        <v>Positivo</v>
      </c>
      <c r="Z255" t="str">
        <f t="shared" si="47"/>
        <v>Positivo</v>
      </c>
      <c r="AA255" s="1">
        <f>IF(AND(Y255="Negativo",Z255="Negativo"),0,IF(AND(B255="Ativo",OR(Y255="Positivo",Z255="Positivo")),X255*8%,0))</f>
        <v>7200</v>
      </c>
    </row>
    <row r="256" spans="1:27">
      <c r="A256" s="2" t="s">
        <v>30</v>
      </c>
      <c r="B256" s="2" t="str">
        <f t="shared" si="36"/>
        <v>Inativo</v>
      </c>
      <c r="C256" s="2" t="s">
        <v>529</v>
      </c>
      <c r="D256" s="2" t="str">
        <f t="shared" si="37"/>
        <v>Theon Baelish</v>
      </c>
      <c r="E256" s="2" t="s">
        <v>530</v>
      </c>
      <c r="F256" s="2" t="str">
        <f t="shared" si="38"/>
        <v>000.000.380-00</v>
      </c>
      <c r="G256" s="2">
        <v>36</v>
      </c>
      <c r="H256" s="2">
        <f ca="1">IF(G256="", DATEDIF(J256, TODAY(), "Y"), G256)</f>
        <v>36</v>
      </c>
      <c r="I256" s="2">
        <v>32914</v>
      </c>
      <c r="J256" s="6">
        <f t="shared" si="39"/>
        <v>32914</v>
      </c>
      <c r="K256" s="2" t="s">
        <v>174</v>
      </c>
      <c r="L256" s="2" t="str" cm="1">
        <f t="array" ref="L256">_xlfn.TEXTSPLIT(K256,"|")</f>
        <v>Atalaia da Água Cinzenta</v>
      </c>
      <c r="M256" s="2" t="s">
        <v>367</v>
      </c>
      <c r="N256" s="3">
        <v>27600</v>
      </c>
      <c r="O256" s="3">
        <f t="shared" si="40"/>
        <v>27600</v>
      </c>
      <c r="P256" s="4">
        <v>37000</v>
      </c>
      <c r="Q256" s="5">
        <f t="shared" si="41"/>
        <v>37000</v>
      </c>
      <c r="R256" s="2" t="s">
        <v>46</v>
      </c>
      <c r="S256" s="2" t="str">
        <f t="shared" si="42"/>
        <v>Não</v>
      </c>
      <c r="T256" s="2" t="str">
        <f t="shared" si="43"/>
        <v>Não</v>
      </c>
      <c r="U256" s="2">
        <v>15</v>
      </c>
      <c r="V256" s="2">
        <f t="shared" si="44"/>
        <v>15</v>
      </c>
      <c r="W256" s="2" t="str">
        <f t="shared" si="45"/>
        <v>médio</v>
      </c>
      <c r="X256" s="5">
        <v>41500</v>
      </c>
      <c r="Y256" t="str">
        <f t="shared" si="46"/>
        <v>Positivo</v>
      </c>
      <c r="Z256" t="str">
        <f t="shared" si="47"/>
        <v>Positivo</v>
      </c>
      <c r="AA256" s="1">
        <f>IF(AND(Y256="Negativo",Z256="Negativo"),0,IF(AND(B256="Ativo",OR(Y256="Positivo",Z256="Positivo")),X256*8%,0))</f>
        <v>0</v>
      </c>
    </row>
    <row r="257" spans="1:27">
      <c r="A257" s="2" t="s">
        <v>30</v>
      </c>
      <c r="B257" s="2" t="str">
        <f t="shared" si="36"/>
        <v>Inativo</v>
      </c>
      <c r="C257" s="2" t="s">
        <v>531</v>
      </c>
      <c r="D257" s="2" t="str">
        <f t="shared" si="37"/>
        <v>Aegon Hornwood</v>
      </c>
      <c r="E257" s="2">
        <v>17100</v>
      </c>
      <c r="F257" s="2" t="str">
        <f t="shared" si="38"/>
        <v>000.000.171-00</v>
      </c>
      <c r="G257" s="2">
        <v>45</v>
      </c>
      <c r="H257" s="2">
        <f ca="1">IF(G257="", DATEDIF(J257, TODAY(), "Y"), G257)</f>
        <v>45</v>
      </c>
      <c r="I257" s="2">
        <v>29506</v>
      </c>
      <c r="J257" s="6">
        <f t="shared" si="39"/>
        <v>29506</v>
      </c>
      <c r="K257" s="2" t="s">
        <v>229</v>
      </c>
      <c r="L257" s="2" t="str" cm="1">
        <f t="array" ref="L257">_xlfn.TEXTSPLIT(K257,"|")</f>
        <v>Solar do Entardecer</v>
      </c>
      <c r="M257" s="2" t="s">
        <v>33</v>
      </c>
      <c r="N257" s="3">
        <v>5100</v>
      </c>
      <c r="O257" s="3">
        <f t="shared" si="40"/>
        <v>5100</v>
      </c>
      <c r="P257" s="4">
        <v>25000</v>
      </c>
      <c r="Q257" s="5">
        <f t="shared" si="41"/>
        <v>25000</v>
      </c>
      <c r="R257" s="2" t="s">
        <v>46</v>
      </c>
      <c r="S257" s="2" t="str">
        <f t="shared" si="42"/>
        <v>Não</v>
      </c>
      <c r="T257" s="2" t="str">
        <f t="shared" si="43"/>
        <v>Não</v>
      </c>
      <c r="U257" s="2">
        <v>29</v>
      </c>
      <c r="V257" s="2">
        <f t="shared" si="44"/>
        <v>29</v>
      </c>
      <c r="W257" s="2" t="str">
        <f t="shared" si="45"/>
        <v>alto</v>
      </c>
      <c r="X257" s="5">
        <v>88000</v>
      </c>
      <c r="Y257" t="str">
        <f t="shared" si="46"/>
        <v>Positivo</v>
      </c>
      <c r="Z257" t="str">
        <f t="shared" si="47"/>
        <v>Positivo</v>
      </c>
      <c r="AA257" s="1">
        <f>IF(AND(Y257="Negativo",Z257="Negativo"),0,IF(AND(B257="Ativo",OR(Y257="Positivo",Z257="Positivo")),X257*8%,0))</f>
        <v>0</v>
      </c>
    </row>
    <row r="258" spans="1:27">
      <c r="A258" s="2" t="s">
        <v>50</v>
      </c>
      <c r="B258" s="2" t="str">
        <f t="shared" si="36"/>
        <v>Ativo</v>
      </c>
      <c r="C258" s="2" t="s">
        <v>532</v>
      </c>
      <c r="D258" s="2" t="str">
        <f t="shared" si="37"/>
        <v>Ellaria Redwyne</v>
      </c>
      <c r="E258" s="2" t="s">
        <v>533</v>
      </c>
      <c r="F258" s="2" t="str">
        <f t="shared" si="38"/>
        <v>000.000.093-00</v>
      </c>
      <c r="G258" s="2">
        <v>56</v>
      </c>
      <c r="H258" s="2">
        <f ca="1">IF(G258="", DATEDIF(J258, TODAY(), "Y"), G258)</f>
        <v>56</v>
      </c>
      <c r="I258" s="2">
        <v>25551</v>
      </c>
      <c r="J258" s="6">
        <f t="shared" si="39"/>
        <v>25551</v>
      </c>
      <c r="K258" s="2" t="s">
        <v>121</v>
      </c>
      <c r="L258" s="2" t="str" cm="1">
        <f t="array" ref="L258">_xlfn.TEXTSPLIT(K258,"|")</f>
        <v>Dorne</v>
      </c>
      <c r="M258" s="2" t="s">
        <v>121</v>
      </c>
      <c r="N258" s="3">
        <v>22600</v>
      </c>
      <c r="O258" s="3">
        <f t="shared" si="40"/>
        <v>22600</v>
      </c>
      <c r="P258" s="4">
        <v>63000</v>
      </c>
      <c r="Q258" s="5">
        <f t="shared" si="41"/>
        <v>63000</v>
      </c>
      <c r="R258" s="2" t="s">
        <v>46</v>
      </c>
      <c r="S258" s="2" t="str">
        <f t="shared" si="42"/>
        <v>Não</v>
      </c>
      <c r="T258" s="2" t="str">
        <f t="shared" si="43"/>
        <v>Não</v>
      </c>
      <c r="U258" s="2">
        <v>33</v>
      </c>
      <c r="V258" s="2">
        <f t="shared" si="44"/>
        <v>33</v>
      </c>
      <c r="W258" s="2" t="str">
        <f t="shared" si="45"/>
        <v>alto</v>
      </c>
      <c r="X258" s="5">
        <v>53000</v>
      </c>
      <c r="Y258" t="str">
        <f t="shared" si="46"/>
        <v>Positivo</v>
      </c>
      <c r="Z258" t="str">
        <f t="shared" si="47"/>
        <v>Positivo</v>
      </c>
      <c r="AA258" s="1">
        <f>IF(AND(Y258="Negativo",Z258="Negativo"),0,IF(AND(B258="Ativo",OR(Y258="Positivo",Z258="Positivo")),X258*8%,0))</f>
        <v>4240</v>
      </c>
    </row>
    <row r="259" spans="1:27">
      <c r="A259" s="2" t="s">
        <v>24</v>
      </c>
      <c r="B259" s="2" t="str">
        <f t="shared" ref="B259:B322" si="48">IF(LEFT(A259,5)="Ativo", "Ativo", "Inativo")</f>
        <v>Ativo</v>
      </c>
      <c r="C259" s="2" t="s">
        <v>534</v>
      </c>
      <c r="D259" s="2" t="str">
        <f t="shared" ref="D259:D322" si="49">PROPER(C259)</f>
        <v>Missandei Redwyne</v>
      </c>
      <c r="E259" s="2" t="s">
        <v>535</v>
      </c>
      <c r="F259" s="2" t="str">
        <f t="shared" ref="F259:F322" si="50">TEXT(_xlfn.NUMBERVALUE(SUBSTITUTE(SUBSTITUTE(E259,".",""),"-","")), "000\.000\.000\-00")</f>
        <v>000.000.111-00</v>
      </c>
      <c r="G259" s="2">
        <v>47</v>
      </c>
      <c r="H259" s="2">
        <f ca="1">IF(G259="", DATEDIF(J259, TODAY(), "Y"), G259)</f>
        <v>47</v>
      </c>
      <c r="I259" s="6">
        <v>29007</v>
      </c>
      <c r="J259" s="6">
        <f t="shared" ref="J259:J322" si="51">I259</f>
        <v>29007</v>
      </c>
      <c r="K259" s="2" t="s">
        <v>63</v>
      </c>
      <c r="L259" s="2" t="str" cm="1">
        <f t="array" ref="L259">_xlfn.TEXTSPLIT(K259,"|")</f>
        <v>Meereen</v>
      </c>
      <c r="M259" s="2" t="s">
        <v>64</v>
      </c>
      <c r="N259" s="3">
        <v>5000</v>
      </c>
      <c r="O259" s="3">
        <f t="shared" ref="O259:O322" si="52">IF(OR(N259="", N259="sem renda"), "", N259)</f>
        <v>5000</v>
      </c>
      <c r="P259" s="4">
        <v>75500</v>
      </c>
      <c r="Q259" s="5">
        <f t="shared" ref="Q259:Q322" si="53">P259</f>
        <v>75500</v>
      </c>
      <c r="R259" s="2" t="s">
        <v>29</v>
      </c>
      <c r="S259" s="2" t="str">
        <f t="shared" ref="S259:S322" si="54">IF(R259="", "", IF(R259=0, "não", IF(R259=1, "sim", R259)))</f>
        <v>Sim</v>
      </c>
      <c r="T259" s="2" t="str">
        <f t="shared" ref="T259:T322" si="55">IF(LEFT(UPPER(S259),1)="S", "Sim", "Não")</f>
        <v>Sim</v>
      </c>
      <c r="U259" s="2">
        <v>2</v>
      </c>
      <c r="V259" s="2">
        <f t="shared" ref="V259:V322" si="56">IF(U259="", 0, U259)</f>
        <v>2</v>
      </c>
      <c r="W259" s="2" t="str">
        <f t="shared" ref="W259:W322" si="57">IF(U259&lt;=10, "baixo", IF(U259&lt;=25, "médio", "alto"))</f>
        <v>baixo</v>
      </c>
      <c r="X259" s="5">
        <v>89500</v>
      </c>
      <c r="Y259" t="str">
        <f t="shared" ref="Y259:Y322" si="58">IF(AND(W259="alto", S259="Sim"), "Negativo", "Positivo")</f>
        <v>Positivo</v>
      </c>
      <c r="Z259" t="str">
        <f t="shared" ref="Z259:Z322" si="59">IF(OR(Q259="N/A", AND(Q259&gt;50000, S259="Sim")), "Negativo", "Positivo")</f>
        <v>Negativo</v>
      </c>
      <c r="AA259" s="1">
        <f>IF(AND(Y259="Negativo",Z259="Negativo"),0,IF(AND(B259="Ativo",OR(Y259="Positivo",Z259="Positivo")),X259*8%,0))</f>
        <v>7160</v>
      </c>
    </row>
    <row r="260" spans="1:27">
      <c r="A260" s="2" t="s">
        <v>24</v>
      </c>
      <c r="B260" s="2" t="str">
        <f t="shared" si="48"/>
        <v>Ativo</v>
      </c>
      <c r="C260" s="2" t="s">
        <v>101</v>
      </c>
      <c r="D260" s="2" t="str">
        <f t="shared" si="49"/>
        <v>Jorah Hightower</v>
      </c>
      <c r="E260" s="2" t="s">
        <v>536</v>
      </c>
      <c r="F260" s="2" t="str">
        <f t="shared" si="50"/>
        <v>000.000.007-00</v>
      </c>
      <c r="G260" s="2">
        <v>44</v>
      </c>
      <c r="H260" s="2">
        <f ca="1">IF(G260="", DATEDIF(J260, TODAY(), "Y"), G260)</f>
        <v>44</v>
      </c>
      <c r="I260" s="6">
        <v>30069</v>
      </c>
      <c r="J260" s="6">
        <f t="shared" si="51"/>
        <v>30069</v>
      </c>
      <c r="K260" s="2" t="s">
        <v>77</v>
      </c>
      <c r="L260" s="2" t="str" cm="1">
        <f t="array" ref="L260">_xlfn.TEXTSPLIT(K260,"|")</f>
        <v>Correrrio</v>
      </c>
      <c r="M260" s="2" t="s">
        <v>78</v>
      </c>
      <c r="N260" s="3">
        <v>21700</v>
      </c>
      <c r="O260" s="3">
        <f t="shared" si="52"/>
        <v>21700</v>
      </c>
      <c r="P260" s="4">
        <v>34500</v>
      </c>
      <c r="Q260" s="5">
        <f t="shared" si="53"/>
        <v>34500</v>
      </c>
      <c r="R260" s="2" t="s">
        <v>176</v>
      </c>
      <c r="S260" s="2" t="str">
        <f t="shared" si="54"/>
        <v>NÃO</v>
      </c>
      <c r="T260" s="2" t="str">
        <f t="shared" si="55"/>
        <v>Não</v>
      </c>
      <c r="U260" s="2">
        <v>29</v>
      </c>
      <c r="V260" s="2">
        <f t="shared" si="56"/>
        <v>29</v>
      </c>
      <c r="W260" s="2" t="str">
        <f t="shared" si="57"/>
        <v>alto</v>
      </c>
      <c r="X260" s="5">
        <v>10500</v>
      </c>
      <c r="Y260" t="str">
        <f t="shared" si="58"/>
        <v>Positivo</v>
      </c>
      <c r="Z260" t="str">
        <f t="shared" si="59"/>
        <v>Positivo</v>
      </c>
      <c r="AA260" s="1">
        <f>IF(AND(Y260="Negativo",Z260="Negativo"),0,IF(AND(B260="Ativo",OR(Y260="Positivo",Z260="Positivo")),X260*8%,0))</f>
        <v>840</v>
      </c>
    </row>
    <row r="261" spans="1:27">
      <c r="A261" s="2" t="s">
        <v>24</v>
      </c>
      <c r="B261" s="2" t="str">
        <f t="shared" si="48"/>
        <v>Ativo</v>
      </c>
      <c r="C261" s="2" t="s">
        <v>537</v>
      </c>
      <c r="D261" s="2" t="str">
        <f t="shared" si="49"/>
        <v>Eddard Payne</v>
      </c>
      <c r="E261" s="2">
        <v>15900</v>
      </c>
      <c r="F261" s="2" t="str">
        <f t="shared" si="50"/>
        <v>000.000.159-00</v>
      </c>
      <c r="G261" s="2">
        <v>26</v>
      </c>
      <c r="H261" s="2">
        <f ca="1">IF(G261="", DATEDIF(J261, TODAY(), "Y"), G261)</f>
        <v>26</v>
      </c>
      <c r="I261" s="6">
        <v>36411</v>
      </c>
      <c r="J261" s="6">
        <f t="shared" si="51"/>
        <v>36411</v>
      </c>
      <c r="K261" s="2" t="s">
        <v>77</v>
      </c>
      <c r="L261" s="2" t="str" cm="1">
        <f t="array" ref="L261">_xlfn.TEXTSPLIT(K261,"|")</f>
        <v>Correrrio</v>
      </c>
      <c r="M261" s="2" t="s">
        <v>78</v>
      </c>
      <c r="N261" s="3">
        <v>9200</v>
      </c>
      <c r="O261" s="3">
        <f t="shared" si="52"/>
        <v>9200</v>
      </c>
      <c r="P261" s="4">
        <v>68500</v>
      </c>
      <c r="Q261" s="5">
        <f t="shared" si="53"/>
        <v>68500</v>
      </c>
      <c r="R261" s="2" t="s">
        <v>46</v>
      </c>
      <c r="S261" s="2" t="str">
        <f t="shared" si="54"/>
        <v>Não</v>
      </c>
      <c r="T261" s="2" t="str">
        <f t="shared" si="55"/>
        <v>Não</v>
      </c>
      <c r="U261" s="2">
        <v>27</v>
      </c>
      <c r="V261" s="2">
        <f t="shared" si="56"/>
        <v>27</v>
      </c>
      <c r="W261" s="2" t="str">
        <f t="shared" si="57"/>
        <v>alto</v>
      </c>
      <c r="X261" s="5">
        <v>7000</v>
      </c>
      <c r="Y261" t="str">
        <f t="shared" si="58"/>
        <v>Positivo</v>
      </c>
      <c r="Z261" t="str">
        <f t="shared" si="59"/>
        <v>Positivo</v>
      </c>
      <c r="AA261" s="1">
        <f>IF(AND(Y261="Negativo",Z261="Negativo"),0,IF(AND(B261="Ativo",OR(Y261="Positivo",Z261="Positivo")),X261*8%,0))</f>
        <v>560</v>
      </c>
    </row>
    <row r="262" spans="1:27">
      <c r="A262" s="2" t="s">
        <v>30</v>
      </c>
      <c r="B262" s="2" t="str">
        <f t="shared" si="48"/>
        <v>Inativo</v>
      </c>
      <c r="C262" s="2" t="s">
        <v>538</v>
      </c>
      <c r="D262" s="2" t="str">
        <f t="shared" si="49"/>
        <v>Cersei Glover</v>
      </c>
      <c r="E262" s="2" t="s">
        <v>539</v>
      </c>
      <c r="F262" s="2" t="str">
        <f t="shared" si="50"/>
        <v>000.000.324-00</v>
      </c>
      <c r="G262" s="2">
        <v>49</v>
      </c>
      <c r="H262" s="2">
        <f ca="1">IF(G262="", DATEDIF(J262, TODAY(), "Y"), G262)</f>
        <v>49</v>
      </c>
      <c r="I262" s="6">
        <v>28286</v>
      </c>
      <c r="J262" s="6">
        <f t="shared" si="51"/>
        <v>28286</v>
      </c>
      <c r="K262" s="2" t="s">
        <v>56</v>
      </c>
      <c r="L262" s="2" t="str" cm="1">
        <f t="array" ref="L262">_xlfn.TEXTSPLIT(K262,"|")</f>
        <v>Pyke</v>
      </c>
      <c r="M262" s="2" t="s">
        <v>57</v>
      </c>
      <c r="N262" s="3">
        <v>21900</v>
      </c>
      <c r="O262" s="3">
        <f t="shared" si="52"/>
        <v>21900</v>
      </c>
      <c r="P262" s="4">
        <v>69000</v>
      </c>
      <c r="Q262" s="5">
        <f t="shared" si="53"/>
        <v>69000</v>
      </c>
      <c r="R262" s="2" t="s">
        <v>46</v>
      </c>
      <c r="S262" s="2" t="str">
        <f t="shared" si="54"/>
        <v>Não</v>
      </c>
      <c r="T262" s="2" t="str">
        <f t="shared" si="55"/>
        <v>Não</v>
      </c>
      <c r="U262" s="2">
        <v>4</v>
      </c>
      <c r="V262" s="2">
        <f t="shared" si="56"/>
        <v>4</v>
      </c>
      <c r="W262" s="2" t="str">
        <f t="shared" si="57"/>
        <v>baixo</v>
      </c>
      <c r="X262" s="5">
        <v>80500</v>
      </c>
      <c r="Y262" t="str">
        <f t="shared" si="58"/>
        <v>Positivo</v>
      </c>
      <c r="Z262" t="str">
        <f t="shared" si="59"/>
        <v>Positivo</v>
      </c>
      <c r="AA262" s="1">
        <f>IF(AND(Y262="Negativo",Z262="Negativo"),0,IF(AND(B262="Ativo",OR(Y262="Positivo",Z262="Positivo")),X262*8%,0))</f>
        <v>0</v>
      </c>
    </row>
    <row r="263" spans="1:27">
      <c r="A263" s="2" t="s">
        <v>24</v>
      </c>
      <c r="B263" s="2" t="str">
        <f t="shared" si="48"/>
        <v>Ativo</v>
      </c>
      <c r="C263" s="2" t="s">
        <v>540</v>
      </c>
      <c r="D263" s="2" t="str">
        <f t="shared" si="49"/>
        <v>Theon Karstark</v>
      </c>
      <c r="E263" s="2" t="s">
        <v>541</v>
      </c>
      <c r="F263" s="2" t="str">
        <f t="shared" si="50"/>
        <v>000.000.296-00</v>
      </c>
      <c r="G263" s="2">
        <v>71</v>
      </c>
      <c r="H263" s="2">
        <f ca="1">IF(G263="", DATEDIF(J263, TODAY(), "Y"), G263)</f>
        <v>71</v>
      </c>
      <c r="I263" s="2">
        <v>20187</v>
      </c>
      <c r="J263" s="6">
        <f t="shared" si="51"/>
        <v>20187</v>
      </c>
      <c r="K263" s="2" t="s">
        <v>68</v>
      </c>
      <c r="L263" s="2" t="str" cm="1">
        <f t="array" ref="L263">_xlfn.TEXTSPLIT(K263,"|")</f>
        <v>Braavos</v>
      </c>
      <c r="M263" s="2" t="s">
        <v>64</v>
      </c>
      <c r="N263" s="3">
        <v>29200</v>
      </c>
      <c r="O263" s="3">
        <f t="shared" si="52"/>
        <v>29200</v>
      </c>
      <c r="P263" s="4">
        <v>73500</v>
      </c>
      <c r="Q263" s="5">
        <f t="shared" si="53"/>
        <v>73500</v>
      </c>
      <c r="R263" s="2" t="s">
        <v>46</v>
      </c>
      <c r="S263" s="2" t="str">
        <f t="shared" si="54"/>
        <v>Não</v>
      </c>
      <c r="T263" s="2" t="str">
        <f t="shared" si="55"/>
        <v>Não</v>
      </c>
      <c r="U263" s="2">
        <v>2</v>
      </c>
      <c r="V263" s="2">
        <f t="shared" si="56"/>
        <v>2</v>
      </c>
      <c r="W263" s="2" t="str">
        <f t="shared" si="57"/>
        <v>baixo</v>
      </c>
      <c r="X263" s="5">
        <v>33000</v>
      </c>
      <c r="Y263" t="str">
        <f t="shared" si="58"/>
        <v>Positivo</v>
      </c>
      <c r="Z263" t="str">
        <f t="shared" si="59"/>
        <v>Positivo</v>
      </c>
      <c r="AA263" s="1">
        <f>IF(AND(Y263="Negativo",Z263="Negativo"),0,IF(AND(B263="Ativo",OR(Y263="Positivo",Z263="Positivo")),X263*8%,0))</f>
        <v>2640</v>
      </c>
    </row>
    <row r="264" spans="1:27">
      <c r="A264" s="2" t="s">
        <v>24</v>
      </c>
      <c r="B264" s="2" t="str">
        <f t="shared" si="48"/>
        <v>Ativo</v>
      </c>
      <c r="C264" s="2" t="s">
        <v>542</v>
      </c>
      <c r="D264" s="2" t="str">
        <f t="shared" si="49"/>
        <v>Jon Cerwyn</v>
      </c>
      <c r="E264" s="2" t="s">
        <v>543</v>
      </c>
      <c r="F264" s="2" t="str">
        <f t="shared" si="50"/>
        <v>000.000.112-00</v>
      </c>
      <c r="G264" s="2">
        <v>65</v>
      </c>
      <c r="H264" s="2">
        <f ca="1">IF(G264="", DATEDIF(J264, TODAY(), "Y"), G264)</f>
        <v>65</v>
      </c>
      <c r="I264" s="2">
        <v>22314</v>
      </c>
      <c r="J264" s="6">
        <f t="shared" si="51"/>
        <v>22314</v>
      </c>
      <c r="K264" s="2" t="s">
        <v>32</v>
      </c>
      <c r="L264" s="2" t="str" cm="1">
        <f t="array" ref="L264">_xlfn.TEXTSPLIT(K264,"|")</f>
        <v>Ponta Tempestade</v>
      </c>
      <c r="M264" s="2" t="s">
        <v>230</v>
      </c>
      <c r="N264" s="3">
        <v>6100</v>
      </c>
      <c r="O264" s="3">
        <f t="shared" si="52"/>
        <v>6100</v>
      </c>
      <c r="P264" s="4">
        <v>40000</v>
      </c>
      <c r="Q264" s="5">
        <f t="shared" si="53"/>
        <v>40000</v>
      </c>
      <c r="R264" s="2" t="s">
        <v>46</v>
      </c>
      <c r="S264" s="2" t="str">
        <f t="shared" si="54"/>
        <v>Não</v>
      </c>
      <c r="T264" s="2" t="str">
        <f t="shared" si="55"/>
        <v>Não</v>
      </c>
      <c r="U264" s="2">
        <v>13</v>
      </c>
      <c r="V264" s="2">
        <f t="shared" si="56"/>
        <v>13</v>
      </c>
      <c r="W264" s="2" t="str">
        <f t="shared" si="57"/>
        <v>médio</v>
      </c>
      <c r="X264" s="5">
        <v>22500</v>
      </c>
      <c r="Y264" t="str">
        <f t="shared" si="58"/>
        <v>Positivo</v>
      </c>
      <c r="Z264" t="str">
        <f t="shared" si="59"/>
        <v>Positivo</v>
      </c>
      <c r="AA264" s="1">
        <f>IF(AND(Y264="Negativo",Z264="Negativo"),0,IF(AND(B264="Ativo",OR(Y264="Positivo",Z264="Positivo")),X264*8%,0))</f>
        <v>1800</v>
      </c>
    </row>
    <row r="265" spans="1:27">
      <c r="A265" s="2" t="s">
        <v>24</v>
      </c>
      <c r="B265" s="2" t="str">
        <f t="shared" si="48"/>
        <v>Ativo</v>
      </c>
      <c r="C265" s="2" t="s">
        <v>544</v>
      </c>
      <c r="D265" s="2" t="str">
        <f t="shared" si="49"/>
        <v>Jon Bolton</v>
      </c>
      <c r="E265" s="2" t="s">
        <v>545</v>
      </c>
      <c r="F265" s="2" t="str">
        <f t="shared" si="50"/>
        <v>000.000.130-00</v>
      </c>
      <c r="G265" s="2">
        <v>65</v>
      </c>
      <c r="H265" s="2">
        <f ca="1">IF(G265="", DATEDIF(J265, TODAY(), "Y"), G265)</f>
        <v>65</v>
      </c>
      <c r="I265" s="2">
        <v>22297</v>
      </c>
      <c r="J265" s="6">
        <f t="shared" si="51"/>
        <v>22297</v>
      </c>
      <c r="K265" s="2" t="s">
        <v>49</v>
      </c>
      <c r="L265" s="2" t="str" cm="1">
        <f t="array" ref="L265">_xlfn.TEXTSPLIT(K265,"|")</f>
        <v>Lannisporto</v>
      </c>
      <c r="M265" s="2" t="s">
        <v>53</v>
      </c>
      <c r="N265" s="3">
        <v>27300</v>
      </c>
      <c r="O265" s="3">
        <f t="shared" si="52"/>
        <v>27300</v>
      </c>
      <c r="P265" s="4">
        <v>48500</v>
      </c>
      <c r="Q265" s="5">
        <f t="shared" si="53"/>
        <v>48500</v>
      </c>
      <c r="R265" s="2" t="s">
        <v>46</v>
      </c>
      <c r="S265" s="2" t="str">
        <f t="shared" si="54"/>
        <v>Não</v>
      </c>
      <c r="T265" s="2" t="str">
        <f t="shared" si="55"/>
        <v>Não</v>
      </c>
      <c r="U265" s="2">
        <v>29</v>
      </c>
      <c r="V265" s="2">
        <f t="shared" si="56"/>
        <v>29</v>
      </c>
      <c r="W265" s="2" t="str">
        <f t="shared" si="57"/>
        <v>alto</v>
      </c>
      <c r="X265" s="5">
        <v>94000</v>
      </c>
      <c r="Y265" t="str">
        <f t="shared" si="58"/>
        <v>Positivo</v>
      </c>
      <c r="Z265" t="str">
        <f t="shared" si="59"/>
        <v>Positivo</v>
      </c>
      <c r="AA265" s="1">
        <f>IF(AND(Y265="Negativo",Z265="Negativo"),0,IF(AND(B265="Ativo",OR(Y265="Positivo",Z265="Positivo")),X265*8%,0))</f>
        <v>7520</v>
      </c>
    </row>
    <row r="266" spans="1:27">
      <c r="A266" s="2" t="s">
        <v>24</v>
      </c>
      <c r="B266" s="2" t="str">
        <f t="shared" si="48"/>
        <v>Ativo</v>
      </c>
      <c r="C266" s="2" t="s">
        <v>546</v>
      </c>
      <c r="D266" s="2" t="str">
        <f t="shared" si="49"/>
        <v>Robert Stark</v>
      </c>
      <c r="E266" s="2" t="s">
        <v>547</v>
      </c>
      <c r="F266" s="2" t="str">
        <f t="shared" si="50"/>
        <v>000.000.315-00</v>
      </c>
      <c r="G266" s="2">
        <v>57</v>
      </c>
      <c r="H266" s="2">
        <f ca="1">IF(G266="", DATEDIF(J266, TODAY(), "Y"), G266)</f>
        <v>57</v>
      </c>
      <c r="I266" s="2">
        <v>25350</v>
      </c>
      <c r="J266" s="6">
        <f t="shared" si="51"/>
        <v>25350</v>
      </c>
      <c r="K266" s="2" t="s">
        <v>106</v>
      </c>
      <c r="L266" s="2" t="str" cm="1">
        <f t="array" ref="L266">_xlfn.TEXTSPLIT(K266,"|")</f>
        <v>Harrenhal</v>
      </c>
      <c r="M266" s="2" t="s">
        <v>78</v>
      </c>
      <c r="N266" s="3">
        <v>20600</v>
      </c>
      <c r="O266" s="3">
        <f t="shared" si="52"/>
        <v>20600</v>
      </c>
      <c r="P266" s="4">
        <v>52500</v>
      </c>
      <c r="Q266" s="5">
        <f t="shared" si="53"/>
        <v>52500</v>
      </c>
      <c r="S266" s="2" t="str">
        <f t="shared" si="54"/>
        <v/>
      </c>
      <c r="T266" s="2" t="str">
        <f t="shared" si="55"/>
        <v>Não</v>
      </c>
      <c r="U266" s="2">
        <v>16</v>
      </c>
      <c r="V266" s="2">
        <f t="shared" si="56"/>
        <v>16</v>
      </c>
      <c r="W266" s="2" t="str">
        <f t="shared" si="57"/>
        <v>médio</v>
      </c>
      <c r="X266" s="5">
        <v>97000</v>
      </c>
      <c r="Y266" t="str">
        <f t="shared" si="58"/>
        <v>Positivo</v>
      </c>
      <c r="Z266" t="str">
        <f t="shared" si="59"/>
        <v>Positivo</v>
      </c>
      <c r="AA266" s="1">
        <f>IF(AND(Y266="Negativo",Z266="Negativo"),0,IF(AND(B266="Ativo",OR(Y266="Positivo",Z266="Positivo")),X266*8%,0))</f>
        <v>7760</v>
      </c>
    </row>
    <row r="267" spans="1:27">
      <c r="A267" s="2" t="s">
        <v>24</v>
      </c>
      <c r="B267" s="2" t="str">
        <f t="shared" si="48"/>
        <v>Ativo</v>
      </c>
      <c r="C267" s="2" t="s">
        <v>548</v>
      </c>
      <c r="D267" s="2" t="str">
        <f t="shared" si="49"/>
        <v>Tyrion Lannister</v>
      </c>
      <c r="E267" s="2">
        <v>2800</v>
      </c>
      <c r="F267" s="2" t="str">
        <f t="shared" si="50"/>
        <v>000.000.028-00</v>
      </c>
      <c r="G267" s="2">
        <v>24</v>
      </c>
      <c r="H267" s="2">
        <f ca="1">IF(G267="", DATEDIF(J267, TODAY(), "Y"), G267)</f>
        <v>24</v>
      </c>
      <c r="I267" s="2">
        <v>37470</v>
      </c>
      <c r="J267" s="6">
        <f t="shared" si="51"/>
        <v>37470</v>
      </c>
      <c r="K267" s="2" t="s">
        <v>229</v>
      </c>
      <c r="L267" s="2" t="str" cm="1">
        <f t="array" ref="L267">_xlfn.TEXTSPLIT(K267,"|")</f>
        <v>Solar do Entardecer</v>
      </c>
      <c r="M267" s="2" t="s">
        <v>125</v>
      </c>
      <c r="N267" s="3">
        <v>16900</v>
      </c>
      <c r="O267" s="3">
        <f t="shared" si="52"/>
        <v>16900</v>
      </c>
      <c r="P267" s="4">
        <v>42500</v>
      </c>
      <c r="Q267" s="5">
        <f t="shared" si="53"/>
        <v>42500</v>
      </c>
      <c r="R267" s="2" t="s">
        <v>29</v>
      </c>
      <c r="S267" s="2" t="str">
        <f t="shared" si="54"/>
        <v>Sim</v>
      </c>
      <c r="T267" s="2" t="str">
        <f t="shared" si="55"/>
        <v>Sim</v>
      </c>
      <c r="U267" s="2">
        <v>26</v>
      </c>
      <c r="V267" s="2">
        <f t="shared" si="56"/>
        <v>26</v>
      </c>
      <c r="W267" s="2" t="str">
        <f t="shared" si="57"/>
        <v>alto</v>
      </c>
      <c r="X267" s="5">
        <v>12500</v>
      </c>
      <c r="Y267" t="str">
        <f t="shared" si="58"/>
        <v>Negativo</v>
      </c>
      <c r="Z267" t="str">
        <f t="shared" si="59"/>
        <v>Positivo</v>
      </c>
      <c r="AA267" s="1">
        <f>IF(AND(Y267="Negativo",Z267="Negativo"),0,IF(AND(B267="Ativo",OR(Y267="Positivo",Z267="Positivo")),X267*8%,0))</f>
        <v>1000</v>
      </c>
    </row>
    <row r="268" spans="1:27">
      <c r="A268" s="2" t="s">
        <v>30</v>
      </c>
      <c r="B268" s="2" t="str">
        <f t="shared" si="48"/>
        <v>Inativo</v>
      </c>
      <c r="C268" s="2" t="s">
        <v>549</v>
      </c>
      <c r="D268" s="2" t="str">
        <f t="shared" si="49"/>
        <v>Eddard Greyjoy</v>
      </c>
      <c r="E268" s="2" t="s">
        <v>550</v>
      </c>
      <c r="F268" s="2" t="str">
        <f t="shared" si="50"/>
        <v>000.000.238-00</v>
      </c>
      <c r="G268" s="2">
        <v>55</v>
      </c>
      <c r="H268" s="2">
        <f ca="1">IF(G268="", DATEDIF(J268, TODAY(), "Y"), G268)</f>
        <v>55</v>
      </c>
      <c r="I268" s="6">
        <v>25848</v>
      </c>
      <c r="J268" s="6">
        <f t="shared" si="51"/>
        <v>25848</v>
      </c>
      <c r="K268" s="2" t="s">
        <v>63</v>
      </c>
      <c r="L268" s="2" t="str" cm="1">
        <f t="array" ref="L268">_xlfn.TEXTSPLIT(K268,"|")</f>
        <v>Meereen</v>
      </c>
      <c r="M268" s="2" t="s">
        <v>64</v>
      </c>
      <c r="O268" s="3" t="str">
        <f t="shared" si="52"/>
        <v/>
      </c>
      <c r="P268" s="4">
        <v>5000</v>
      </c>
      <c r="Q268" s="5">
        <f t="shared" si="53"/>
        <v>5000</v>
      </c>
      <c r="R268" s="2" t="s">
        <v>46</v>
      </c>
      <c r="S268" s="2" t="str">
        <f t="shared" si="54"/>
        <v>Não</v>
      </c>
      <c r="T268" s="2" t="str">
        <f t="shared" si="55"/>
        <v>Não</v>
      </c>
      <c r="U268" s="2">
        <v>8</v>
      </c>
      <c r="V268" s="2">
        <f t="shared" si="56"/>
        <v>8</v>
      </c>
      <c r="W268" s="2" t="str">
        <f t="shared" si="57"/>
        <v>baixo</v>
      </c>
      <c r="X268" s="5">
        <v>11000</v>
      </c>
      <c r="Y268" t="str">
        <f t="shared" si="58"/>
        <v>Positivo</v>
      </c>
      <c r="Z268" t="str">
        <f t="shared" si="59"/>
        <v>Positivo</v>
      </c>
      <c r="AA268" s="1">
        <f>IF(AND(Y268="Negativo",Z268="Negativo"),0,IF(AND(B268="Ativo",OR(Y268="Positivo",Z268="Positivo")),X268*8%,0))</f>
        <v>0</v>
      </c>
    </row>
    <row r="269" spans="1:27">
      <c r="A269" s="2" t="s">
        <v>24</v>
      </c>
      <c r="B269" s="2" t="str">
        <f t="shared" si="48"/>
        <v>Ativo</v>
      </c>
      <c r="C269" s="2" t="s">
        <v>511</v>
      </c>
      <c r="D269" s="2" t="str">
        <f t="shared" si="49"/>
        <v>Thoros Greyjoy</v>
      </c>
      <c r="E269" s="2" t="s">
        <v>551</v>
      </c>
      <c r="F269" s="2" t="str">
        <f t="shared" si="50"/>
        <v>000.000.374-00</v>
      </c>
      <c r="G269" s="2">
        <v>67</v>
      </c>
      <c r="H269" s="2">
        <f ca="1">IF(G269="", DATEDIF(J269, TODAY(), "Y"), G269)</f>
        <v>67</v>
      </c>
      <c r="I269" s="6">
        <v>21573</v>
      </c>
      <c r="J269" s="6">
        <f t="shared" si="51"/>
        <v>21573</v>
      </c>
      <c r="K269" s="2" t="s">
        <v>174</v>
      </c>
      <c r="L269" s="2" t="str" cm="1">
        <f t="array" ref="L269">_xlfn.TEXTSPLIT(K269,"|")</f>
        <v>Atalaia da Água Cinzenta</v>
      </c>
      <c r="M269" s="2" t="s">
        <v>175</v>
      </c>
      <c r="N269" s="3">
        <v>6400</v>
      </c>
      <c r="O269" s="3">
        <f t="shared" si="52"/>
        <v>6400</v>
      </c>
      <c r="P269" s="4">
        <v>1000</v>
      </c>
      <c r="Q269" s="5">
        <f t="shared" si="53"/>
        <v>1000</v>
      </c>
      <c r="R269" s="2" t="s">
        <v>176</v>
      </c>
      <c r="S269" s="2" t="str">
        <f t="shared" si="54"/>
        <v>NÃO</v>
      </c>
      <c r="T269" s="2" t="str">
        <f t="shared" si="55"/>
        <v>Não</v>
      </c>
      <c r="U269" s="2">
        <v>27</v>
      </c>
      <c r="V269" s="2">
        <f t="shared" si="56"/>
        <v>27</v>
      </c>
      <c r="W269" s="2" t="str">
        <f t="shared" si="57"/>
        <v>alto</v>
      </c>
      <c r="X269" s="5">
        <v>50000</v>
      </c>
      <c r="Y269" t="str">
        <f t="shared" si="58"/>
        <v>Positivo</v>
      </c>
      <c r="Z269" t="str">
        <f t="shared" si="59"/>
        <v>Positivo</v>
      </c>
      <c r="AA269" s="1">
        <f>IF(AND(Y269="Negativo",Z269="Negativo"),0,IF(AND(B269="Ativo",OR(Y269="Positivo",Z269="Positivo")),X269*8%,0))</f>
        <v>4000</v>
      </c>
    </row>
    <row r="270" spans="1:27">
      <c r="A270" s="2" t="s">
        <v>24</v>
      </c>
      <c r="B270" s="2" t="str">
        <f t="shared" si="48"/>
        <v>Ativo</v>
      </c>
      <c r="C270" s="2" t="s">
        <v>552</v>
      </c>
      <c r="D270" s="2" t="str">
        <f t="shared" si="49"/>
        <v>Gilly Marbrand</v>
      </c>
      <c r="E270" s="2">
        <v>15600</v>
      </c>
      <c r="F270" s="2" t="str">
        <f t="shared" si="50"/>
        <v>000.000.156-00</v>
      </c>
      <c r="G270" s="2">
        <v>44</v>
      </c>
      <c r="H270" s="2">
        <f ca="1">IF(G270="", DATEDIF(J270, TODAY(), "Y"), G270)</f>
        <v>44</v>
      </c>
      <c r="I270" s="2">
        <v>29843</v>
      </c>
      <c r="J270" s="6">
        <f t="shared" si="51"/>
        <v>29843</v>
      </c>
      <c r="K270" s="2" t="s">
        <v>36</v>
      </c>
      <c r="L270" s="2" t="str" cm="1">
        <f t="array" ref="L270">_xlfn.TEXTSPLIT(K270,"|")</f>
        <v>Pedra do Dragão</v>
      </c>
      <c r="M270" s="2" t="s">
        <v>37</v>
      </c>
      <c r="N270" s="3">
        <v>11300</v>
      </c>
      <c r="O270" s="3">
        <f t="shared" si="52"/>
        <v>11300</v>
      </c>
      <c r="P270" s="4">
        <v>55000</v>
      </c>
      <c r="Q270" s="5">
        <f t="shared" si="53"/>
        <v>55000</v>
      </c>
      <c r="R270" s="2" t="s">
        <v>46</v>
      </c>
      <c r="S270" s="2" t="str">
        <f t="shared" si="54"/>
        <v>Não</v>
      </c>
      <c r="T270" s="2" t="str">
        <f t="shared" si="55"/>
        <v>Não</v>
      </c>
      <c r="U270" s="2">
        <v>38</v>
      </c>
      <c r="V270" s="2">
        <f t="shared" si="56"/>
        <v>38</v>
      </c>
      <c r="W270" s="2" t="str">
        <f t="shared" si="57"/>
        <v>alto</v>
      </c>
      <c r="X270" s="5">
        <v>68500</v>
      </c>
      <c r="Y270" t="str">
        <f t="shared" si="58"/>
        <v>Positivo</v>
      </c>
      <c r="Z270" t="str">
        <f t="shared" si="59"/>
        <v>Positivo</v>
      </c>
      <c r="AA270" s="1">
        <f>IF(AND(Y270="Negativo",Z270="Negativo"),0,IF(AND(B270="Ativo",OR(Y270="Positivo",Z270="Positivo")),X270*8%,0))</f>
        <v>5480</v>
      </c>
    </row>
    <row r="271" spans="1:27">
      <c r="A271" s="2" t="s">
        <v>24</v>
      </c>
      <c r="B271" s="2" t="str">
        <f t="shared" si="48"/>
        <v>Ativo</v>
      </c>
      <c r="C271" s="2" t="s">
        <v>553</v>
      </c>
      <c r="D271" s="2" t="str">
        <f t="shared" si="49"/>
        <v>Catelyn Lannister</v>
      </c>
      <c r="E271" s="2" t="s">
        <v>554</v>
      </c>
      <c r="F271" s="2" t="str">
        <f t="shared" si="50"/>
        <v>000.000.110-00</v>
      </c>
      <c r="G271" s="2">
        <v>33</v>
      </c>
      <c r="H271" s="2">
        <f ca="1">IF(G271="", DATEDIF(J271, TODAY(), "Y"), G271)</f>
        <v>33</v>
      </c>
      <c r="I271" s="2">
        <v>34070</v>
      </c>
      <c r="J271" s="6">
        <f t="shared" si="51"/>
        <v>34070</v>
      </c>
      <c r="K271" s="2" t="s">
        <v>229</v>
      </c>
      <c r="L271" s="2" t="str" cm="1">
        <f t="array" ref="L271">_xlfn.TEXTSPLIT(K271,"|")</f>
        <v>Solar do Entardecer</v>
      </c>
      <c r="M271" s="2" t="s">
        <v>125</v>
      </c>
      <c r="N271" s="3">
        <v>29300</v>
      </c>
      <c r="O271" s="3">
        <f t="shared" si="52"/>
        <v>29300</v>
      </c>
      <c r="P271" s="4">
        <v>69000</v>
      </c>
      <c r="Q271" s="5">
        <f t="shared" si="53"/>
        <v>69000</v>
      </c>
      <c r="R271" s="2" t="s">
        <v>29</v>
      </c>
      <c r="S271" s="2" t="str">
        <f t="shared" si="54"/>
        <v>Sim</v>
      </c>
      <c r="T271" s="2" t="str">
        <f t="shared" si="55"/>
        <v>Sim</v>
      </c>
      <c r="U271" s="2">
        <v>0</v>
      </c>
      <c r="V271" s="2">
        <f t="shared" si="56"/>
        <v>0</v>
      </c>
      <c r="W271" s="2" t="str">
        <f t="shared" si="57"/>
        <v>baixo</v>
      </c>
      <c r="X271" s="5">
        <v>4500</v>
      </c>
      <c r="Y271" t="str">
        <f t="shared" si="58"/>
        <v>Positivo</v>
      </c>
      <c r="Z271" t="str">
        <f t="shared" si="59"/>
        <v>Negativo</v>
      </c>
      <c r="AA271" s="1">
        <f>IF(AND(Y271="Negativo",Z271="Negativo"),0,IF(AND(B271="Ativo",OR(Y271="Positivo",Z271="Positivo")),X271*8%,0))</f>
        <v>360</v>
      </c>
    </row>
    <row r="272" spans="1:27">
      <c r="A272" s="2" t="s">
        <v>24</v>
      </c>
      <c r="B272" s="2" t="str">
        <f t="shared" si="48"/>
        <v>Ativo</v>
      </c>
      <c r="C272" s="2" t="s">
        <v>555</v>
      </c>
      <c r="D272" s="2" t="str">
        <f t="shared" si="49"/>
        <v>Gendry Cerwyn</v>
      </c>
      <c r="E272" s="2" t="s">
        <v>556</v>
      </c>
      <c r="F272" s="2" t="str">
        <f t="shared" si="50"/>
        <v>000.000.153-00</v>
      </c>
      <c r="G272" s="2">
        <v>24</v>
      </c>
      <c r="H272" s="2">
        <f ca="1">IF(G272="", DATEDIF(J272, TODAY(), "Y"), G272)</f>
        <v>24</v>
      </c>
      <c r="I272" s="2">
        <v>37394</v>
      </c>
      <c r="J272" s="6">
        <f t="shared" si="51"/>
        <v>37394</v>
      </c>
      <c r="K272" s="2" t="s">
        <v>557</v>
      </c>
      <c r="L272" s="2" t="str" cm="1">
        <f t="array" ref="L272:M272">_xlfn.TEXTSPLIT(K272,"|")</f>
        <v xml:space="preserve">Lannisporto </v>
      </c>
      <c r="M272" s="2" t="str">
        <v xml:space="preserve"> Oeste</v>
      </c>
      <c r="N272" s="3">
        <v>14200</v>
      </c>
      <c r="O272" s="3">
        <f t="shared" si="52"/>
        <v>14200</v>
      </c>
      <c r="P272" s="4">
        <v>71000</v>
      </c>
      <c r="Q272" s="5">
        <f t="shared" si="53"/>
        <v>71000</v>
      </c>
      <c r="R272" s="2" t="s">
        <v>46</v>
      </c>
      <c r="S272" s="2" t="str">
        <f t="shared" si="54"/>
        <v>Não</v>
      </c>
      <c r="T272" s="2" t="str">
        <f t="shared" si="55"/>
        <v>Não</v>
      </c>
      <c r="U272" s="2">
        <v>10</v>
      </c>
      <c r="V272" s="2">
        <f t="shared" si="56"/>
        <v>10</v>
      </c>
      <c r="W272" s="2" t="str">
        <f t="shared" si="57"/>
        <v>baixo</v>
      </c>
      <c r="X272" s="5">
        <v>91500</v>
      </c>
      <c r="Y272" t="str">
        <f t="shared" si="58"/>
        <v>Positivo</v>
      </c>
      <c r="Z272" t="str">
        <f t="shared" si="59"/>
        <v>Positivo</v>
      </c>
      <c r="AA272" s="1">
        <f>IF(AND(Y272="Negativo",Z272="Negativo"),0,IF(AND(B272="Ativo",OR(Y272="Positivo",Z272="Positivo")),X272*8%,0))</f>
        <v>7320</v>
      </c>
    </row>
    <row r="273" spans="1:27">
      <c r="A273" s="2" t="s">
        <v>24</v>
      </c>
      <c r="B273" s="2" t="str">
        <f t="shared" si="48"/>
        <v>Ativo</v>
      </c>
      <c r="C273" s="2" t="s">
        <v>558</v>
      </c>
      <c r="D273" s="2" t="str">
        <f t="shared" si="49"/>
        <v>Jon Dayne</v>
      </c>
      <c r="E273" s="2">
        <v>31900</v>
      </c>
      <c r="F273" s="2" t="str">
        <f t="shared" si="50"/>
        <v>000.000.319-00</v>
      </c>
      <c r="G273" s="2">
        <v>20</v>
      </c>
      <c r="H273" s="2">
        <f ca="1">IF(G273="", DATEDIF(J273, TODAY(), "Y"), G273)</f>
        <v>20</v>
      </c>
      <c r="I273" s="2">
        <v>38678</v>
      </c>
      <c r="J273" s="6">
        <f t="shared" si="51"/>
        <v>38678</v>
      </c>
      <c r="K273" s="2" t="s">
        <v>68</v>
      </c>
      <c r="L273" s="2" t="str" cm="1">
        <f t="array" ref="L273">_xlfn.TEXTSPLIT(K273,"|")</f>
        <v>Braavos</v>
      </c>
      <c r="M273" s="2" t="s">
        <v>64</v>
      </c>
      <c r="N273" s="3">
        <v>9300</v>
      </c>
      <c r="O273" s="3">
        <f t="shared" si="52"/>
        <v>9300</v>
      </c>
      <c r="P273" s="4">
        <v>35000</v>
      </c>
      <c r="Q273" s="5">
        <f t="shared" si="53"/>
        <v>35000</v>
      </c>
      <c r="R273" s="2" t="s">
        <v>46</v>
      </c>
      <c r="S273" s="2" t="str">
        <f t="shared" si="54"/>
        <v>Não</v>
      </c>
      <c r="T273" s="2" t="str">
        <f t="shared" si="55"/>
        <v>Não</v>
      </c>
      <c r="U273" s="2">
        <v>5</v>
      </c>
      <c r="V273" s="2">
        <f t="shared" si="56"/>
        <v>5</v>
      </c>
      <c r="W273" s="2" t="str">
        <f t="shared" si="57"/>
        <v>baixo</v>
      </c>
      <c r="X273" s="5">
        <v>10500</v>
      </c>
      <c r="Y273" t="str">
        <f t="shared" si="58"/>
        <v>Positivo</v>
      </c>
      <c r="Z273" t="str">
        <f t="shared" si="59"/>
        <v>Positivo</v>
      </c>
      <c r="AA273" s="1">
        <f>IF(AND(Y273="Negativo",Z273="Negativo"),0,IF(AND(B273="Ativo",OR(Y273="Positivo",Z273="Positivo")),X273*8%,0))</f>
        <v>840</v>
      </c>
    </row>
    <row r="274" spans="1:27">
      <c r="A274" s="2" t="s">
        <v>30</v>
      </c>
      <c r="B274" s="2" t="str">
        <f t="shared" si="48"/>
        <v>Inativo</v>
      </c>
      <c r="C274" s="2" t="s">
        <v>559</v>
      </c>
      <c r="D274" s="2" t="str">
        <f t="shared" si="49"/>
        <v>Renly Blackwood</v>
      </c>
      <c r="E274" s="2" t="s">
        <v>560</v>
      </c>
      <c r="F274" s="2" t="str">
        <f t="shared" si="50"/>
        <v>000.000.106-00</v>
      </c>
      <c r="G274" s="2">
        <v>20</v>
      </c>
      <c r="H274" s="2">
        <f ca="1">IF(G274="", DATEDIF(J274, TODAY(), "Y"), G274)</f>
        <v>20</v>
      </c>
      <c r="I274" s="6">
        <v>38704</v>
      </c>
      <c r="J274" s="6">
        <f t="shared" si="51"/>
        <v>38704</v>
      </c>
      <c r="K274" s="2" t="s">
        <v>229</v>
      </c>
      <c r="L274" s="2" t="str" cm="1">
        <f t="array" ref="L274">_xlfn.TEXTSPLIT(K274,"|")</f>
        <v>Solar do Entardecer</v>
      </c>
      <c r="M274" s="2" t="s">
        <v>74</v>
      </c>
      <c r="N274" s="3">
        <v>12900</v>
      </c>
      <c r="O274" s="3">
        <f t="shared" si="52"/>
        <v>12900</v>
      </c>
      <c r="P274" s="4">
        <v>26500</v>
      </c>
      <c r="Q274" s="5">
        <f t="shared" si="53"/>
        <v>26500</v>
      </c>
      <c r="R274" s="2" t="s">
        <v>46</v>
      </c>
      <c r="S274" s="2" t="str">
        <f t="shared" si="54"/>
        <v>Não</v>
      </c>
      <c r="T274" s="2" t="str">
        <f t="shared" si="55"/>
        <v>Não</v>
      </c>
      <c r="U274" s="2">
        <v>13</v>
      </c>
      <c r="V274" s="2">
        <f t="shared" si="56"/>
        <v>13</v>
      </c>
      <c r="W274" s="2" t="str">
        <f t="shared" si="57"/>
        <v>médio</v>
      </c>
      <c r="X274" s="5">
        <v>2000</v>
      </c>
      <c r="Y274" t="str">
        <f t="shared" si="58"/>
        <v>Positivo</v>
      </c>
      <c r="Z274" t="str">
        <f t="shared" si="59"/>
        <v>Positivo</v>
      </c>
      <c r="AA274" s="1">
        <f>IF(AND(Y274="Negativo",Z274="Negativo"),0,IF(AND(B274="Ativo",OR(Y274="Positivo",Z274="Positivo")),X274*8%,0))</f>
        <v>0</v>
      </c>
    </row>
    <row r="275" spans="1:27">
      <c r="A275" s="2" t="s">
        <v>24</v>
      </c>
      <c r="B275" s="2" t="str">
        <f t="shared" si="48"/>
        <v>Ativo</v>
      </c>
      <c r="C275" s="2" t="s">
        <v>561</v>
      </c>
      <c r="D275" s="2" t="str">
        <f t="shared" si="49"/>
        <v>Davos  Baratheon</v>
      </c>
      <c r="E275" s="2" t="s">
        <v>562</v>
      </c>
      <c r="F275" s="2" t="str">
        <f t="shared" si="50"/>
        <v>000.000.055-00</v>
      </c>
      <c r="H275" s="2">
        <f ca="1">IF(G275="", DATEDIF(J275, TODAY(), "Y"), G275)</f>
        <v>27</v>
      </c>
      <c r="I275" s="2">
        <v>36337</v>
      </c>
      <c r="J275" s="6">
        <f t="shared" si="51"/>
        <v>36337</v>
      </c>
      <c r="K275" s="2" t="s">
        <v>107</v>
      </c>
      <c r="L275" s="2" t="str" cm="1">
        <f t="array" ref="L275">_xlfn.TEXTSPLIT(K275,"|")</f>
        <v>Winterfell</v>
      </c>
      <c r="M275" s="2" t="s">
        <v>81</v>
      </c>
      <c r="N275" s="3">
        <v>22500</v>
      </c>
      <c r="O275" s="3">
        <f t="shared" si="52"/>
        <v>22500</v>
      </c>
      <c r="P275" s="4">
        <v>55500</v>
      </c>
      <c r="Q275" s="5">
        <f t="shared" si="53"/>
        <v>55500</v>
      </c>
      <c r="R275" s="2" t="s">
        <v>46</v>
      </c>
      <c r="S275" s="2" t="str">
        <f t="shared" si="54"/>
        <v>Não</v>
      </c>
      <c r="T275" s="2" t="str">
        <f t="shared" si="55"/>
        <v>Não</v>
      </c>
      <c r="U275" s="2">
        <v>32</v>
      </c>
      <c r="V275" s="2">
        <f t="shared" si="56"/>
        <v>32</v>
      </c>
      <c r="W275" s="2" t="str">
        <f t="shared" si="57"/>
        <v>alto</v>
      </c>
      <c r="X275" s="5">
        <v>91500</v>
      </c>
      <c r="Y275" t="str">
        <f t="shared" si="58"/>
        <v>Positivo</v>
      </c>
      <c r="Z275" t="str">
        <f t="shared" si="59"/>
        <v>Positivo</v>
      </c>
      <c r="AA275" s="1">
        <f>IF(AND(Y275="Negativo",Z275="Negativo"),0,IF(AND(B275="Ativo",OR(Y275="Positivo",Z275="Positivo")),X275*8%,0))</f>
        <v>7320</v>
      </c>
    </row>
    <row r="276" spans="1:27">
      <c r="A276" s="2" t="s">
        <v>24</v>
      </c>
      <c r="B276" s="2" t="str">
        <f t="shared" si="48"/>
        <v>Ativo</v>
      </c>
      <c r="C276" s="2" t="s">
        <v>563</v>
      </c>
      <c r="D276" s="2" t="str">
        <f t="shared" si="49"/>
        <v>Bronn Crakehall</v>
      </c>
      <c r="E276" s="2">
        <v>29500</v>
      </c>
      <c r="F276" s="2" t="str">
        <f t="shared" si="50"/>
        <v>000.000.295-00</v>
      </c>
      <c r="G276" s="2">
        <v>68</v>
      </c>
      <c r="H276" s="2">
        <f ca="1">IF(G276="", DATEDIF(J276, TODAY(), "Y"), G276)</f>
        <v>68</v>
      </c>
      <c r="I276" s="6">
        <v>21079</v>
      </c>
      <c r="J276" s="6">
        <f t="shared" si="51"/>
        <v>21079</v>
      </c>
      <c r="K276" s="2" t="s">
        <v>174</v>
      </c>
      <c r="L276" s="2" t="str" cm="1">
        <f t="array" ref="L276">_xlfn.TEXTSPLIT(K276,"|")</f>
        <v>Atalaia da Água Cinzenta</v>
      </c>
      <c r="M276" s="2" t="s">
        <v>179</v>
      </c>
      <c r="N276" s="3">
        <v>3600</v>
      </c>
      <c r="O276" s="3">
        <f t="shared" si="52"/>
        <v>3600</v>
      </c>
      <c r="P276" s="4">
        <v>64500</v>
      </c>
      <c r="Q276" s="5">
        <f t="shared" si="53"/>
        <v>64500</v>
      </c>
      <c r="R276" s="2" t="s">
        <v>29</v>
      </c>
      <c r="S276" s="2" t="str">
        <f t="shared" si="54"/>
        <v>Sim</v>
      </c>
      <c r="T276" s="2" t="str">
        <f t="shared" si="55"/>
        <v>Sim</v>
      </c>
      <c r="U276" s="2">
        <v>32</v>
      </c>
      <c r="V276" s="2">
        <f t="shared" si="56"/>
        <v>32</v>
      </c>
      <c r="W276" s="2" t="str">
        <f t="shared" si="57"/>
        <v>alto</v>
      </c>
      <c r="X276" s="5">
        <v>35500</v>
      </c>
      <c r="Y276" t="str">
        <f t="shared" si="58"/>
        <v>Negativo</v>
      </c>
      <c r="Z276" t="str">
        <f t="shared" si="59"/>
        <v>Negativo</v>
      </c>
      <c r="AA276" s="1">
        <f>IF(AND(Y276="Negativo",Z276="Negativo"),0,IF(AND(B276="Ativo",OR(Y276="Positivo",Z276="Positivo")),X276*8%,0))</f>
        <v>0</v>
      </c>
    </row>
    <row r="277" spans="1:27">
      <c r="A277" s="2" t="s">
        <v>24</v>
      </c>
      <c r="B277" s="2" t="str">
        <f t="shared" si="48"/>
        <v>Ativo</v>
      </c>
      <c r="C277" s="2" t="s">
        <v>427</v>
      </c>
      <c r="D277" s="2" t="str">
        <f t="shared" si="49"/>
        <v>Jorah Marbrand</v>
      </c>
      <c r="E277" s="2" t="s">
        <v>564</v>
      </c>
      <c r="F277" s="2" t="str">
        <f t="shared" si="50"/>
        <v>000.000.339-00</v>
      </c>
      <c r="G277" s="2">
        <v>53</v>
      </c>
      <c r="H277" s="2">
        <f ca="1">IF(G277="", DATEDIF(J277, TODAY(), "Y"), G277)</f>
        <v>53</v>
      </c>
      <c r="I277" s="6">
        <v>26558</v>
      </c>
      <c r="J277" s="6">
        <f t="shared" si="51"/>
        <v>26558</v>
      </c>
      <c r="K277" s="2" t="s">
        <v>36</v>
      </c>
      <c r="L277" s="2" t="str" cm="1">
        <f t="array" ref="L277">_xlfn.TEXTSPLIT(K277,"|")</f>
        <v>Pedra do Dragão</v>
      </c>
      <c r="M277" s="2" t="s">
        <v>103</v>
      </c>
      <c r="N277" s="3">
        <v>15500</v>
      </c>
      <c r="O277" s="3">
        <f t="shared" si="52"/>
        <v>15500</v>
      </c>
      <c r="Q277" s="5">
        <f t="shared" si="53"/>
        <v>0</v>
      </c>
      <c r="R277" s="2" t="s">
        <v>46</v>
      </c>
      <c r="S277" s="2" t="str">
        <f t="shared" si="54"/>
        <v>Não</v>
      </c>
      <c r="T277" s="2" t="str">
        <f t="shared" si="55"/>
        <v>Não</v>
      </c>
      <c r="U277" s="2">
        <v>16</v>
      </c>
      <c r="V277" s="2">
        <f t="shared" si="56"/>
        <v>16</v>
      </c>
      <c r="W277" s="2" t="str">
        <f t="shared" si="57"/>
        <v>médio</v>
      </c>
      <c r="X277" s="5">
        <v>41000</v>
      </c>
      <c r="Y277" t="str">
        <f t="shared" si="58"/>
        <v>Positivo</v>
      </c>
      <c r="Z277" t="str">
        <f t="shared" si="59"/>
        <v>Positivo</v>
      </c>
      <c r="AA277" s="1">
        <f>IF(AND(Y277="Negativo",Z277="Negativo"),0,IF(AND(B277="Ativo",OR(Y277="Positivo",Z277="Positivo")),X277*8%,0))</f>
        <v>3280</v>
      </c>
    </row>
    <row r="278" spans="1:27">
      <c r="A278" s="2" t="s">
        <v>24</v>
      </c>
      <c r="B278" s="2" t="str">
        <f t="shared" si="48"/>
        <v>Ativo</v>
      </c>
      <c r="C278" s="2" t="s">
        <v>565</v>
      </c>
      <c r="D278" s="2" t="str">
        <f t="shared" si="49"/>
        <v>Cersei Umber</v>
      </c>
      <c r="E278" s="2" t="s">
        <v>566</v>
      </c>
      <c r="F278" s="2" t="str">
        <f t="shared" si="50"/>
        <v>000.000.058-00</v>
      </c>
      <c r="G278" s="2">
        <v>62</v>
      </c>
      <c r="H278" s="2">
        <f ca="1">IF(G278="", DATEDIF(J278, TODAY(), "Y"), G278)</f>
        <v>62</v>
      </c>
      <c r="J278" s="6">
        <f t="shared" si="51"/>
        <v>0</v>
      </c>
      <c r="K278" s="2" t="s">
        <v>110</v>
      </c>
      <c r="L278" s="2" t="str" cm="1">
        <f t="array" ref="L278">_xlfn.TEXTSPLIT(K278,"|")</f>
        <v>Jardim de Cima</v>
      </c>
      <c r="M278" s="2" t="s">
        <v>87</v>
      </c>
      <c r="N278" s="3">
        <v>1900</v>
      </c>
      <c r="O278" s="3">
        <f t="shared" si="52"/>
        <v>1900</v>
      </c>
      <c r="P278" s="4">
        <v>3500</v>
      </c>
      <c r="Q278" s="5">
        <f t="shared" si="53"/>
        <v>3500</v>
      </c>
      <c r="R278" s="2" t="s">
        <v>46</v>
      </c>
      <c r="S278" s="2" t="str">
        <f t="shared" si="54"/>
        <v>Não</v>
      </c>
      <c r="T278" s="2" t="str">
        <f t="shared" si="55"/>
        <v>Não</v>
      </c>
      <c r="U278" s="2">
        <v>19</v>
      </c>
      <c r="V278" s="2">
        <f t="shared" si="56"/>
        <v>19</v>
      </c>
      <c r="W278" s="2" t="str">
        <f t="shared" si="57"/>
        <v>médio</v>
      </c>
      <c r="X278" s="5">
        <v>62000</v>
      </c>
      <c r="Y278" t="str">
        <f t="shared" si="58"/>
        <v>Positivo</v>
      </c>
      <c r="Z278" t="str">
        <f t="shared" si="59"/>
        <v>Positivo</v>
      </c>
      <c r="AA278" s="1">
        <f>IF(AND(Y278="Negativo",Z278="Negativo"),0,IF(AND(B278="Ativo",OR(Y278="Positivo",Z278="Positivo")),X278*8%,0))</f>
        <v>4960</v>
      </c>
    </row>
    <row r="279" spans="1:27">
      <c r="A279" s="2" t="s">
        <v>24</v>
      </c>
      <c r="B279" s="2" t="str">
        <f t="shared" si="48"/>
        <v>Ativo</v>
      </c>
      <c r="C279" s="2" t="s">
        <v>567</v>
      </c>
      <c r="D279" s="2" t="str">
        <f t="shared" si="49"/>
        <v>Petyr Yronwood</v>
      </c>
      <c r="E279" s="2" t="s">
        <v>568</v>
      </c>
      <c r="F279" s="2" t="str">
        <f t="shared" si="50"/>
        <v>000.000.095-00</v>
      </c>
      <c r="G279" s="2">
        <v>61</v>
      </c>
      <c r="H279" s="2">
        <f ca="1">IF(G279="", DATEDIF(J279, TODAY(), "Y"), G279)</f>
        <v>61</v>
      </c>
      <c r="I279" s="6">
        <v>23964</v>
      </c>
      <c r="J279" s="6">
        <f t="shared" si="51"/>
        <v>23964</v>
      </c>
      <c r="K279" s="2" t="s">
        <v>92</v>
      </c>
      <c r="L279" s="2" t="str" cm="1">
        <f t="array" ref="L279">_xlfn.TEXTSPLIT(K279,"|")</f>
        <v>Ilha dos Ursos</v>
      </c>
      <c r="M279" s="2" t="s">
        <v>93</v>
      </c>
      <c r="N279" s="3">
        <v>7000</v>
      </c>
      <c r="O279" s="3">
        <f t="shared" si="52"/>
        <v>7000</v>
      </c>
      <c r="P279" s="4">
        <v>1500</v>
      </c>
      <c r="Q279" s="5">
        <f t="shared" si="53"/>
        <v>1500</v>
      </c>
      <c r="R279" s="2" t="s">
        <v>29</v>
      </c>
      <c r="S279" s="2" t="str">
        <f t="shared" si="54"/>
        <v>Sim</v>
      </c>
      <c r="T279" s="2" t="str">
        <f t="shared" si="55"/>
        <v>Sim</v>
      </c>
      <c r="U279" s="2">
        <v>32</v>
      </c>
      <c r="V279" s="2">
        <f t="shared" si="56"/>
        <v>32</v>
      </c>
      <c r="W279" s="2" t="str">
        <f t="shared" si="57"/>
        <v>alto</v>
      </c>
      <c r="X279" s="5">
        <v>53000</v>
      </c>
      <c r="Y279" t="str">
        <f t="shared" si="58"/>
        <v>Negativo</v>
      </c>
      <c r="Z279" t="str">
        <f t="shared" si="59"/>
        <v>Positivo</v>
      </c>
      <c r="AA279" s="1">
        <f>IF(AND(Y279="Negativo",Z279="Negativo"),0,IF(AND(B279="Ativo",OR(Y279="Positivo",Z279="Positivo")),X279*8%,0))</f>
        <v>4240</v>
      </c>
    </row>
    <row r="280" spans="1:27">
      <c r="A280" s="2" t="s">
        <v>24</v>
      </c>
      <c r="B280" s="2" t="str">
        <f t="shared" si="48"/>
        <v>Ativo</v>
      </c>
      <c r="C280" s="2" t="s">
        <v>569</v>
      </c>
      <c r="D280" s="2" t="str">
        <f t="shared" si="49"/>
        <v>Robert Westerling</v>
      </c>
      <c r="E280" s="2" t="s">
        <v>570</v>
      </c>
      <c r="F280" s="2" t="str">
        <f t="shared" si="50"/>
        <v>000.000.105-00</v>
      </c>
      <c r="G280" s="2">
        <v>25</v>
      </c>
      <c r="H280" s="2">
        <f ca="1">IF(G280="", DATEDIF(J280, TODAY(), "Y"), G280)</f>
        <v>25</v>
      </c>
      <c r="I280" s="2">
        <v>37118</v>
      </c>
      <c r="J280" s="6">
        <f t="shared" si="51"/>
        <v>37118</v>
      </c>
      <c r="K280" s="2" t="s">
        <v>110</v>
      </c>
      <c r="L280" s="2" t="str" cm="1">
        <f t="array" ref="L280">_xlfn.TEXTSPLIT(K280,"|")</f>
        <v>Jardim de Cima</v>
      </c>
      <c r="M280" s="2" t="s">
        <v>87</v>
      </c>
      <c r="N280" s="3">
        <v>27300</v>
      </c>
      <c r="O280" s="3">
        <f t="shared" si="52"/>
        <v>27300</v>
      </c>
      <c r="P280" s="4">
        <v>1500</v>
      </c>
      <c r="Q280" s="5">
        <f t="shared" si="53"/>
        <v>1500</v>
      </c>
      <c r="R280" s="2">
        <v>1</v>
      </c>
      <c r="S280" s="2" t="str">
        <f t="shared" si="54"/>
        <v>sim</v>
      </c>
      <c r="T280" s="2" t="str">
        <f t="shared" si="55"/>
        <v>Sim</v>
      </c>
      <c r="U280" s="2">
        <v>33</v>
      </c>
      <c r="V280" s="2">
        <f t="shared" si="56"/>
        <v>33</v>
      </c>
      <c r="W280" s="2" t="str">
        <f t="shared" si="57"/>
        <v>alto</v>
      </c>
      <c r="X280" s="5">
        <v>14000</v>
      </c>
      <c r="Y280" t="str">
        <f t="shared" si="58"/>
        <v>Negativo</v>
      </c>
      <c r="Z280" t="str">
        <f t="shared" si="59"/>
        <v>Positivo</v>
      </c>
      <c r="AA280" s="1">
        <f>IF(AND(Y280="Negativo",Z280="Negativo"),0,IF(AND(B280="Ativo",OR(Y280="Positivo",Z280="Positivo")),X280*8%,0))</f>
        <v>1120</v>
      </c>
    </row>
    <row r="281" spans="1:27">
      <c r="A281" s="2" t="s">
        <v>188</v>
      </c>
      <c r="B281" s="2" t="str">
        <f t="shared" si="48"/>
        <v>Ativo</v>
      </c>
      <c r="C281" s="2" t="s">
        <v>571</v>
      </c>
      <c r="D281" s="2" t="str">
        <f t="shared" si="49"/>
        <v>Jon Tarth</v>
      </c>
      <c r="E281" s="2" t="s">
        <v>572</v>
      </c>
      <c r="F281" s="2" t="str">
        <f t="shared" si="50"/>
        <v>000.000.208-00</v>
      </c>
      <c r="G281" s="2">
        <v>52</v>
      </c>
      <c r="H281" s="2">
        <f ca="1">IF(G281="", DATEDIF(J281, TODAY(), "Y"), G281)</f>
        <v>52</v>
      </c>
      <c r="I281" s="2">
        <v>27088</v>
      </c>
      <c r="J281" s="6">
        <f t="shared" si="51"/>
        <v>27088</v>
      </c>
      <c r="K281" s="2" t="s">
        <v>32</v>
      </c>
      <c r="L281" s="2" t="str" cm="1">
        <f t="array" ref="L281">_xlfn.TEXTSPLIT(K281,"|")</f>
        <v>Ponta Tempestade</v>
      </c>
      <c r="M281" s="2" t="s">
        <v>230</v>
      </c>
      <c r="N281" s="3">
        <v>24900</v>
      </c>
      <c r="O281" s="3">
        <f t="shared" si="52"/>
        <v>24900</v>
      </c>
      <c r="P281" s="4">
        <v>0</v>
      </c>
      <c r="Q281" s="5">
        <f t="shared" si="53"/>
        <v>0</v>
      </c>
      <c r="R281" s="2" t="s">
        <v>46</v>
      </c>
      <c r="S281" s="2" t="str">
        <f t="shared" si="54"/>
        <v>Não</v>
      </c>
      <c r="T281" s="2" t="str">
        <f t="shared" si="55"/>
        <v>Não</v>
      </c>
      <c r="U281" s="2">
        <v>24</v>
      </c>
      <c r="V281" s="2">
        <f t="shared" si="56"/>
        <v>24</v>
      </c>
      <c r="W281" s="2" t="str">
        <f t="shared" si="57"/>
        <v>médio</v>
      </c>
      <c r="X281" s="5">
        <v>16000</v>
      </c>
      <c r="Y281" t="str">
        <f t="shared" si="58"/>
        <v>Positivo</v>
      </c>
      <c r="Z281" t="str">
        <f t="shared" si="59"/>
        <v>Positivo</v>
      </c>
      <c r="AA281" s="1">
        <f>IF(AND(Y281="Negativo",Z281="Negativo"),0,IF(AND(B281="Ativo",OR(Y281="Positivo",Z281="Positivo")),X281*8%,0))</f>
        <v>1280</v>
      </c>
    </row>
    <row r="282" spans="1:27">
      <c r="A282" s="2" t="s">
        <v>30</v>
      </c>
      <c r="B282" s="2" t="str">
        <f t="shared" si="48"/>
        <v>Inativo</v>
      </c>
      <c r="C282" s="2" t="s">
        <v>573</v>
      </c>
      <c r="D282" s="2" t="str">
        <f t="shared" si="49"/>
        <v>Jaime Seaworth</v>
      </c>
      <c r="E282" s="2" t="s">
        <v>574</v>
      </c>
      <c r="F282" s="2" t="str">
        <f t="shared" si="50"/>
        <v>000.000.263-00</v>
      </c>
      <c r="G282" s="2">
        <v>33</v>
      </c>
      <c r="H282" s="2">
        <f ca="1">IF(G282="", DATEDIF(J282, TODAY(), "Y"), G282)</f>
        <v>33</v>
      </c>
      <c r="I282" s="2">
        <v>33989</v>
      </c>
      <c r="J282" s="6">
        <f t="shared" si="51"/>
        <v>33989</v>
      </c>
      <c r="K282" s="2" t="s">
        <v>158</v>
      </c>
      <c r="L282" s="2" t="str" cm="1">
        <f t="array" ref="L282">_xlfn.TEXTSPLIT(K282,"|")</f>
        <v>Porto Real</v>
      </c>
      <c r="M282" s="2" t="s">
        <v>103</v>
      </c>
      <c r="N282" s="3">
        <v>23400</v>
      </c>
      <c r="O282" s="3">
        <f t="shared" si="52"/>
        <v>23400</v>
      </c>
      <c r="P282" s="4">
        <v>59000</v>
      </c>
      <c r="Q282" s="5">
        <f t="shared" si="53"/>
        <v>59000</v>
      </c>
      <c r="R282" s="2" t="s">
        <v>119</v>
      </c>
      <c r="S282" s="2" t="str">
        <f t="shared" si="54"/>
        <v>sim</v>
      </c>
      <c r="T282" s="2" t="str">
        <f t="shared" si="55"/>
        <v>Sim</v>
      </c>
      <c r="U282" s="2">
        <v>35</v>
      </c>
      <c r="V282" s="2">
        <f t="shared" si="56"/>
        <v>35</v>
      </c>
      <c r="W282" s="2" t="str">
        <f t="shared" si="57"/>
        <v>alto</v>
      </c>
      <c r="X282" s="5">
        <v>39000</v>
      </c>
      <c r="Y282" t="str">
        <f t="shared" si="58"/>
        <v>Negativo</v>
      </c>
      <c r="Z282" t="str">
        <f t="shared" si="59"/>
        <v>Negativo</v>
      </c>
      <c r="AA282" s="1">
        <f>IF(AND(Y282="Negativo",Z282="Negativo"),0,IF(AND(B282="Ativo",OR(Y282="Positivo",Z282="Positivo")),X282*8%,0))</f>
        <v>0</v>
      </c>
    </row>
    <row r="283" spans="1:27">
      <c r="A283" s="2" t="s">
        <v>30</v>
      </c>
      <c r="B283" s="2" t="str">
        <f t="shared" si="48"/>
        <v>Inativo</v>
      </c>
      <c r="C283" s="2" t="s">
        <v>575</v>
      </c>
      <c r="D283" s="2" t="str">
        <f t="shared" si="49"/>
        <v>Jorah  Tyrell</v>
      </c>
      <c r="E283" s="2" t="s">
        <v>576</v>
      </c>
      <c r="F283" s="2" t="str">
        <f t="shared" si="50"/>
        <v>000.000.229-00</v>
      </c>
      <c r="G283" s="2">
        <v>48</v>
      </c>
      <c r="H283" s="2">
        <f ca="1">IF(G283="", DATEDIF(J283, TODAY(), "Y"), G283)</f>
        <v>48</v>
      </c>
      <c r="I283" s="2">
        <v>28737</v>
      </c>
      <c r="J283" s="6">
        <f t="shared" si="51"/>
        <v>28737</v>
      </c>
      <c r="K283" s="2" t="s">
        <v>158</v>
      </c>
      <c r="L283" s="2" t="str" cm="1">
        <f t="array" ref="L283">_xlfn.TEXTSPLIT(K283,"|")</f>
        <v>Porto Real</v>
      </c>
      <c r="M283" s="2" t="s">
        <v>37</v>
      </c>
      <c r="N283" s="3">
        <v>12400</v>
      </c>
      <c r="O283" s="3">
        <f t="shared" si="52"/>
        <v>12400</v>
      </c>
      <c r="P283" s="4">
        <v>0</v>
      </c>
      <c r="Q283" s="5">
        <f t="shared" si="53"/>
        <v>0</v>
      </c>
      <c r="R283" s="2" t="s">
        <v>46</v>
      </c>
      <c r="S283" s="2" t="str">
        <f t="shared" si="54"/>
        <v>Não</v>
      </c>
      <c r="T283" s="2" t="str">
        <f t="shared" si="55"/>
        <v>Não</v>
      </c>
      <c r="U283" s="2">
        <v>25</v>
      </c>
      <c r="V283" s="2">
        <f t="shared" si="56"/>
        <v>25</v>
      </c>
      <c r="W283" s="2" t="str">
        <f t="shared" si="57"/>
        <v>médio</v>
      </c>
      <c r="X283" s="5">
        <v>65500</v>
      </c>
      <c r="Y283" t="str">
        <f t="shared" si="58"/>
        <v>Positivo</v>
      </c>
      <c r="Z283" t="str">
        <f t="shared" si="59"/>
        <v>Positivo</v>
      </c>
      <c r="AA283" s="1">
        <f>IF(AND(Y283="Negativo",Z283="Negativo"),0,IF(AND(B283="Ativo",OR(Y283="Positivo",Z283="Positivo")),X283*8%,0))</f>
        <v>0</v>
      </c>
    </row>
    <row r="284" spans="1:27">
      <c r="A284" s="2" t="s">
        <v>30</v>
      </c>
      <c r="B284" s="2" t="str">
        <f t="shared" si="48"/>
        <v>Inativo</v>
      </c>
      <c r="C284" s="2" t="s">
        <v>577</v>
      </c>
      <c r="D284" s="2" t="str">
        <f t="shared" si="49"/>
        <v>Eddard Stark</v>
      </c>
      <c r="E284" s="2" t="s">
        <v>578</v>
      </c>
      <c r="F284" s="2" t="str">
        <f t="shared" si="50"/>
        <v>000.000.015-00</v>
      </c>
      <c r="G284" s="2">
        <v>55</v>
      </c>
      <c r="H284" s="2">
        <f ca="1">IF(G284="", DATEDIF(J284, TODAY(), "Y"), G284)</f>
        <v>55</v>
      </c>
      <c r="I284" s="6">
        <v>26142</v>
      </c>
      <c r="J284" s="6">
        <f t="shared" si="51"/>
        <v>26142</v>
      </c>
      <c r="K284" s="2" t="s">
        <v>27</v>
      </c>
      <c r="L284" s="2" t="str" cm="1">
        <f t="array" ref="L284">_xlfn.TEXTSPLIT(K284,"|")</f>
        <v>Ninho da Águia</v>
      </c>
      <c r="M284" s="2" t="s">
        <v>347</v>
      </c>
      <c r="N284" s="3">
        <v>29700</v>
      </c>
      <c r="O284" s="3">
        <f t="shared" si="52"/>
        <v>29700</v>
      </c>
      <c r="P284" s="4">
        <v>78000</v>
      </c>
      <c r="Q284" s="5">
        <f t="shared" si="53"/>
        <v>78000</v>
      </c>
      <c r="R284" s="2" t="s">
        <v>29</v>
      </c>
      <c r="S284" s="2" t="str">
        <f t="shared" si="54"/>
        <v>Sim</v>
      </c>
      <c r="T284" s="2" t="str">
        <f t="shared" si="55"/>
        <v>Sim</v>
      </c>
      <c r="U284" s="2">
        <v>14</v>
      </c>
      <c r="V284" s="2">
        <f t="shared" si="56"/>
        <v>14</v>
      </c>
      <c r="W284" s="2" t="str">
        <f t="shared" si="57"/>
        <v>médio</v>
      </c>
      <c r="X284" s="5">
        <v>27000</v>
      </c>
      <c r="Y284" t="str">
        <f t="shared" si="58"/>
        <v>Positivo</v>
      </c>
      <c r="Z284" t="str">
        <f t="shared" si="59"/>
        <v>Negativo</v>
      </c>
      <c r="AA284" s="1">
        <f>IF(AND(Y284="Negativo",Z284="Negativo"),0,IF(AND(B284="Ativo",OR(Y284="Positivo",Z284="Positivo")),X284*8%,0))</f>
        <v>0</v>
      </c>
    </row>
    <row r="285" spans="1:27">
      <c r="A285" s="2" t="s">
        <v>24</v>
      </c>
      <c r="B285" s="2" t="str">
        <f t="shared" si="48"/>
        <v>Ativo</v>
      </c>
      <c r="C285" s="2" t="s">
        <v>579</v>
      </c>
      <c r="D285" s="2" t="str">
        <f t="shared" si="49"/>
        <v>Lyanna Tarly</v>
      </c>
      <c r="E285" s="2" t="s">
        <v>580</v>
      </c>
      <c r="F285" s="2" t="str">
        <f t="shared" si="50"/>
        <v>000.000.232-00</v>
      </c>
      <c r="G285" s="2">
        <v>28</v>
      </c>
      <c r="H285" s="2">
        <f ca="1">IF(G285="", DATEDIF(J285, TODAY(), "Y"), G285)</f>
        <v>28</v>
      </c>
      <c r="J285" s="6">
        <f t="shared" si="51"/>
        <v>0</v>
      </c>
      <c r="K285" s="2" t="s">
        <v>68</v>
      </c>
      <c r="L285" s="2" t="str" cm="1">
        <f t="array" ref="L285">_xlfn.TEXTSPLIT(K285,"|")</f>
        <v>Braavos</v>
      </c>
      <c r="M285" s="2" t="s">
        <v>64</v>
      </c>
      <c r="N285" s="3">
        <v>14500</v>
      </c>
      <c r="O285" s="3">
        <f t="shared" si="52"/>
        <v>14500</v>
      </c>
      <c r="P285" s="4">
        <v>39500</v>
      </c>
      <c r="Q285" s="5">
        <f t="shared" si="53"/>
        <v>39500</v>
      </c>
      <c r="R285" s="2" t="s">
        <v>46</v>
      </c>
      <c r="S285" s="2" t="str">
        <f t="shared" si="54"/>
        <v>Não</v>
      </c>
      <c r="T285" s="2" t="str">
        <f t="shared" si="55"/>
        <v>Não</v>
      </c>
      <c r="U285" s="2">
        <v>18</v>
      </c>
      <c r="V285" s="2">
        <f t="shared" si="56"/>
        <v>18</v>
      </c>
      <c r="W285" s="2" t="str">
        <f t="shared" si="57"/>
        <v>médio</v>
      </c>
      <c r="X285" s="5">
        <v>32000</v>
      </c>
      <c r="Y285" t="str">
        <f t="shared" si="58"/>
        <v>Positivo</v>
      </c>
      <c r="Z285" t="str">
        <f t="shared" si="59"/>
        <v>Positivo</v>
      </c>
      <c r="AA285" s="1">
        <f>IF(AND(Y285="Negativo",Z285="Negativo"),0,IF(AND(B285="Ativo",OR(Y285="Positivo",Z285="Positivo")),X285*8%,0))</f>
        <v>2560</v>
      </c>
    </row>
    <row r="286" spans="1:27">
      <c r="A286" s="2" t="s">
        <v>24</v>
      </c>
      <c r="B286" s="2" t="str">
        <f t="shared" si="48"/>
        <v>Ativo</v>
      </c>
      <c r="C286" s="2" t="s">
        <v>581</v>
      </c>
      <c r="D286" s="2" t="str">
        <f t="shared" si="49"/>
        <v>Cersei Tarth</v>
      </c>
      <c r="E286" s="2" t="s">
        <v>582</v>
      </c>
      <c r="F286" s="2" t="str">
        <f t="shared" si="50"/>
        <v>000.000.147-00</v>
      </c>
      <c r="G286" s="2">
        <v>52</v>
      </c>
      <c r="H286" s="2">
        <f ca="1">IF(G286="", DATEDIF(J286, TODAY(), "Y"), G286)</f>
        <v>52</v>
      </c>
      <c r="I286" s="6">
        <v>26921</v>
      </c>
      <c r="J286" s="6">
        <f t="shared" si="51"/>
        <v>26921</v>
      </c>
      <c r="K286" s="2" t="s">
        <v>92</v>
      </c>
      <c r="L286" s="2" t="str" cm="1">
        <f t="array" ref="L286">_xlfn.TEXTSPLIT(K286,"|")</f>
        <v>Ilha dos Ursos</v>
      </c>
      <c r="M286" s="2" t="s">
        <v>81</v>
      </c>
      <c r="N286" s="3">
        <v>7300</v>
      </c>
      <c r="O286" s="3">
        <f t="shared" si="52"/>
        <v>7300</v>
      </c>
      <c r="P286" s="4">
        <v>74000</v>
      </c>
      <c r="Q286" s="5">
        <f t="shared" si="53"/>
        <v>74000</v>
      </c>
      <c r="R286" s="2" t="s">
        <v>46</v>
      </c>
      <c r="S286" s="2" t="str">
        <f t="shared" si="54"/>
        <v>Não</v>
      </c>
      <c r="T286" s="2" t="str">
        <f t="shared" si="55"/>
        <v>Não</v>
      </c>
      <c r="U286" s="2">
        <v>40</v>
      </c>
      <c r="V286" s="2">
        <f t="shared" si="56"/>
        <v>40</v>
      </c>
      <c r="W286" s="2" t="str">
        <f t="shared" si="57"/>
        <v>alto</v>
      </c>
      <c r="X286" s="5">
        <v>34500</v>
      </c>
      <c r="Y286" t="str">
        <f t="shared" si="58"/>
        <v>Positivo</v>
      </c>
      <c r="Z286" t="str">
        <f t="shared" si="59"/>
        <v>Positivo</v>
      </c>
      <c r="AA286" s="1">
        <f>IF(AND(Y286="Negativo",Z286="Negativo"),0,IF(AND(B286="Ativo",OR(Y286="Positivo",Z286="Positivo")),X286*8%,0))</f>
        <v>2760</v>
      </c>
    </row>
    <row r="287" spans="1:27">
      <c r="A287" s="2" t="s">
        <v>24</v>
      </c>
      <c r="B287" s="2" t="str">
        <f t="shared" si="48"/>
        <v>Ativo</v>
      </c>
      <c r="C287" s="2" t="s">
        <v>583</v>
      </c>
      <c r="D287" s="2" t="str">
        <f t="shared" si="49"/>
        <v>Catelyn Mallister</v>
      </c>
      <c r="E287" s="2" t="s">
        <v>584</v>
      </c>
      <c r="F287" s="2" t="str">
        <f t="shared" si="50"/>
        <v>000.000.062-00</v>
      </c>
      <c r="G287" s="2">
        <v>63</v>
      </c>
      <c r="H287" s="2">
        <f ca="1">IF(G287="", DATEDIF(J287, TODAY(), "Y"), G287)</f>
        <v>63</v>
      </c>
      <c r="I287" s="6">
        <v>23006</v>
      </c>
      <c r="J287" s="6">
        <f t="shared" si="51"/>
        <v>23006</v>
      </c>
      <c r="K287" s="2" t="s">
        <v>585</v>
      </c>
      <c r="L287" s="2" t="str" cm="1">
        <f t="array" ref="L287:M287">_xlfn.TEXTSPLIT(K287,"|")</f>
        <v xml:space="preserve">Castelo Negro </v>
      </c>
      <c r="M287" s="2" t="str">
        <v xml:space="preserve"> Norte</v>
      </c>
      <c r="N287" s="3">
        <v>11200</v>
      </c>
      <c r="O287" s="3">
        <f t="shared" si="52"/>
        <v>11200</v>
      </c>
      <c r="Q287" s="5">
        <f t="shared" si="53"/>
        <v>0</v>
      </c>
      <c r="S287" s="2" t="str">
        <f t="shared" si="54"/>
        <v/>
      </c>
      <c r="T287" s="2" t="str">
        <f t="shared" si="55"/>
        <v>Não</v>
      </c>
      <c r="U287" s="2">
        <v>41</v>
      </c>
      <c r="V287" s="2">
        <f t="shared" si="56"/>
        <v>41</v>
      </c>
      <c r="W287" s="2" t="str">
        <f t="shared" si="57"/>
        <v>alto</v>
      </c>
      <c r="X287" s="5">
        <v>83500</v>
      </c>
      <c r="Y287" t="str">
        <f t="shared" si="58"/>
        <v>Positivo</v>
      </c>
      <c r="Z287" t="str">
        <f t="shared" si="59"/>
        <v>Positivo</v>
      </c>
      <c r="AA287" s="1">
        <f>IF(AND(Y287="Negativo",Z287="Negativo"),0,IF(AND(B287="Ativo",OR(Y287="Positivo",Z287="Positivo")),X287*8%,0))</f>
        <v>6680</v>
      </c>
    </row>
    <row r="288" spans="1:27">
      <c r="A288" s="2" t="s">
        <v>24</v>
      </c>
      <c r="B288" s="2" t="str">
        <f t="shared" si="48"/>
        <v>Ativo</v>
      </c>
      <c r="C288" s="2" t="s">
        <v>586</v>
      </c>
      <c r="D288" s="2" t="str">
        <f t="shared" si="49"/>
        <v>Brienne Mallister</v>
      </c>
      <c r="E288" s="2" t="s">
        <v>587</v>
      </c>
      <c r="F288" s="2" t="str">
        <f t="shared" si="50"/>
        <v>000.000.202-00</v>
      </c>
      <c r="G288" s="2">
        <v>53</v>
      </c>
      <c r="H288" s="2">
        <f ca="1">IF(G288="", DATEDIF(J288, TODAY(), "Y"), G288)</f>
        <v>53</v>
      </c>
      <c r="I288" s="6">
        <v>26840</v>
      </c>
      <c r="J288" s="6">
        <f t="shared" si="51"/>
        <v>26840</v>
      </c>
      <c r="K288" s="2" t="s">
        <v>588</v>
      </c>
      <c r="L288" s="2" t="str" cm="1">
        <f t="array" ref="L288:M288">_xlfn.TEXTSPLIT(K288,"|")</f>
        <v xml:space="preserve">Ilha dos Ursos </v>
      </c>
      <c r="M288" s="2" t="str">
        <v xml:space="preserve"> Norte</v>
      </c>
      <c r="N288" s="3">
        <v>9500</v>
      </c>
      <c r="O288" s="3">
        <f t="shared" si="52"/>
        <v>9500</v>
      </c>
      <c r="P288" s="4">
        <v>66500</v>
      </c>
      <c r="Q288" s="5">
        <f t="shared" si="53"/>
        <v>66500</v>
      </c>
      <c r="R288" s="2" t="s">
        <v>29</v>
      </c>
      <c r="S288" s="2" t="str">
        <f t="shared" si="54"/>
        <v>Sim</v>
      </c>
      <c r="T288" s="2" t="str">
        <f t="shared" si="55"/>
        <v>Sim</v>
      </c>
      <c r="U288" s="2">
        <v>38</v>
      </c>
      <c r="V288" s="2">
        <f t="shared" si="56"/>
        <v>38</v>
      </c>
      <c r="W288" s="2" t="str">
        <f t="shared" si="57"/>
        <v>alto</v>
      </c>
      <c r="X288" s="5">
        <v>42500</v>
      </c>
      <c r="Y288" t="str">
        <f t="shared" si="58"/>
        <v>Negativo</v>
      </c>
      <c r="Z288" t="str">
        <f t="shared" si="59"/>
        <v>Negativo</v>
      </c>
      <c r="AA288" s="1">
        <f>IF(AND(Y288="Negativo",Z288="Negativo"),0,IF(AND(B288="Ativo",OR(Y288="Positivo",Z288="Positivo")),X288*8%,0))</f>
        <v>0</v>
      </c>
    </row>
    <row r="289" spans="1:27">
      <c r="A289" s="2" t="s">
        <v>24</v>
      </c>
      <c r="B289" s="2" t="str">
        <f t="shared" si="48"/>
        <v>Ativo</v>
      </c>
      <c r="C289" s="2" t="s">
        <v>589</v>
      </c>
      <c r="D289" s="2" t="str">
        <f t="shared" si="49"/>
        <v>Stannis Crakehall</v>
      </c>
      <c r="E289" s="2" t="s">
        <v>590</v>
      </c>
      <c r="F289" s="2" t="str">
        <f t="shared" si="50"/>
        <v>000.000.351-00</v>
      </c>
      <c r="G289" s="2">
        <v>71</v>
      </c>
      <c r="H289" s="2">
        <f ca="1">IF(G289="", DATEDIF(J289, TODAY(), "Y"), G289)</f>
        <v>71</v>
      </c>
      <c r="I289" s="2">
        <v>20275</v>
      </c>
      <c r="J289" s="6">
        <f t="shared" si="51"/>
        <v>20275</v>
      </c>
      <c r="K289" s="2" t="s">
        <v>49</v>
      </c>
      <c r="L289" s="2" t="str" cm="1">
        <f t="array" ref="L289">_xlfn.TEXTSPLIT(K289,"|")</f>
        <v>Lannisporto</v>
      </c>
      <c r="M289" s="2" t="s">
        <v>53</v>
      </c>
      <c r="N289" s="3">
        <v>14200</v>
      </c>
      <c r="O289" s="3">
        <f t="shared" si="52"/>
        <v>14200</v>
      </c>
      <c r="P289" s="4">
        <v>51000</v>
      </c>
      <c r="Q289" s="5">
        <f t="shared" si="53"/>
        <v>51000</v>
      </c>
      <c r="R289" s="2" t="s">
        <v>46</v>
      </c>
      <c r="S289" s="2" t="str">
        <f t="shared" si="54"/>
        <v>Não</v>
      </c>
      <c r="T289" s="2" t="str">
        <f t="shared" si="55"/>
        <v>Não</v>
      </c>
      <c r="U289" s="2">
        <v>10</v>
      </c>
      <c r="V289" s="2">
        <f t="shared" si="56"/>
        <v>10</v>
      </c>
      <c r="W289" s="2" t="str">
        <f t="shared" si="57"/>
        <v>baixo</v>
      </c>
      <c r="X289" s="5">
        <v>90500</v>
      </c>
      <c r="Y289" t="str">
        <f t="shared" si="58"/>
        <v>Positivo</v>
      </c>
      <c r="Z289" t="str">
        <f t="shared" si="59"/>
        <v>Positivo</v>
      </c>
      <c r="AA289" s="1">
        <f>IF(AND(Y289="Negativo",Z289="Negativo"),0,IF(AND(B289="Ativo",OR(Y289="Positivo",Z289="Positivo")),X289*8%,0))</f>
        <v>7240</v>
      </c>
    </row>
    <row r="290" spans="1:27">
      <c r="A290" s="2" t="s">
        <v>24</v>
      </c>
      <c r="B290" s="2" t="str">
        <f t="shared" si="48"/>
        <v>Ativo</v>
      </c>
      <c r="C290" s="2" t="s">
        <v>427</v>
      </c>
      <c r="D290" s="2" t="str">
        <f t="shared" si="49"/>
        <v>Jorah Marbrand</v>
      </c>
      <c r="E290" s="2" t="s">
        <v>428</v>
      </c>
      <c r="F290" s="2" t="str">
        <f t="shared" si="50"/>
        <v>000.000.168-00</v>
      </c>
      <c r="G290" s="2">
        <v>37</v>
      </c>
      <c r="H290" s="2">
        <f ca="1">IF(G290="", DATEDIF(J290, TODAY(), "Y"), G290)</f>
        <v>37</v>
      </c>
      <c r="I290" s="2">
        <v>32414</v>
      </c>
      <c r="J290" s="6">
        <f t="shared" si="51"/>
        <v>32414</v>
      </c>
      <c r="K290" s="2" t="s">
        <v>429</v>
      </c>
      <c r="L290" s="2" t="str" cm="1">
        <f t="array" ref="L290:M290">_xlfn.TEXTSPLIT(K290,"|")</f>
        <v xml:space="preserve">Pedra do Dragão </v>
      </c>
      <c r="M290" s="2" t="str">
        <v xml:space="preserve"> Terras da Coroa</v>
      </c>
      <c r="N290" s="3">
        <v>12800</v>
      </c>
      <c r="O290" s="3">
        <f t="shared" si="52"/>
        <v>12800</v>
      </c>
      <c r="P290" s="4">
        <v>76500</v>
      </c>
      <c r="Q290" s="5">
        <f t="shared" si="53"/>
        <v>76500</v>
      </c>
      <c r="R290" s="2" t="s">
        <v>46</v>
      </c>
      <c r="S290" s="2" t="str">
        <f t="shared" si="54"/>
        <v>Não</v>
      </c>
      <c r="T290" s="2" t="str">
        <f t="shared" si="55"/>
        <v>Não</v>
      </c>
      <c r="U290" s="2">
        <v>30</v>
      </c>
      <c r="V290" s="2">
        <f t="shared" si="56"/>
        <v>30</v>
      </c>
      <c r="W290" s="2" t="str">
        <f t="shared" si="57"/>
        <v>alto</v>
      </c>
      <c r="X290" s="5">
        <v>95000</v>
      </c>
      <c r="Y290" t="str">
        <f t="shared" si="58"/>
        <v>Positivo</v>
      </c>
      <c r="Z290" t="str">
        <f t="shared" si="59"/>
        <v>Positivo</v>
      </c>
      <c r="AA290" s="1">
        <f>IF(AND(Y290="Negativo",Z290="Negativo"),0,IF(AND(B290="Ativo",OR(Y290="Positivo",Z290="Positivo")),X290*8%,0))</f>
        <v>7600</v>
      </c>
    </row>
    <row r="291" spans="1:27">
      <c r="A291" s="2" t="s">
        <v>24</v>
      </c>
      <c r="B291" s="2" t="str">
        <f t="shared" si="48"/>
        <v>Ativo</v>
      </c>
      <c r="C291" s="2" t="s">
        <v>591</v>
      </c>
      <c r="D291" s="2" t="str">
        <f t="shared" si="49"/>
        <v>Sansa Dondarrion</v>
      </c>
      <c r="E291" s="2" t="s">
        <v>592</v>
      </c>
      <c r="F291" s="2" t="str">
        <f t="shared" si="50"/>
        <v>000.000.101-00</v>
      </c>
      <c r="G291" s="2">
        <v>22</v>
      </c>
      <c r="H291" s="2">
        <f ca="1">IF(G291="", DATEDIF(J291, TODAY(), "Y"), G291)</f>
        <v>22</v>
      </c>
      <c r="I291" s="2">
        <v>37936</v>
      </c>
      <c r="J291" s="6">
        <f t="shared" si="51"/>
        <v>37936</v>
      </c>
      <c r="K291" s="2" t="s">
        <v>27</v>
      </c>
      <c r="L291" s="2" t="str" cm="1">
        <f t="array" ref="L291">_xlfn.TEXTSPLIT(K291,"|")</f>
        <v>Ninho da Águia</v>
      </c>
      <c r="M291" s="2" t="s">
        <v>45</v>
      </c>
      <c r="N291" s="3">
        <v>4100</v>
      </c>
      <c r="O291" s="3">
        <f t="shared" si="52"/>
        <v>4100</v>
      </c>
      <c r="P291" s="4">
        <v>2000</v>
      </c>
      <c r="Q291" s="5">
        <f t="shared" si="53"/>
        <v>2000</v>
      </c>
      <c r="R291" s="2" t="s">
        <v>46</v>
      </c>
      <c r="S291" s="2" t="str">
        <f t="shared" si="54"/>
        <v>Não</v>
      </c>
      <c r="T291" s="2" t="str">
        <f t="shared" si="55"/>
        <v>Não</v>
      </c>
      <c r="U291" s="2">
        <v>8</v>
      </c>
      <c r="V291" s="2">
        <f t="shared" si="56"/>
        <v>8</v>
      </c>
      <c r="W291" s="2" t="str">
        <f t="shared" si="57"/>
        <v>baixo</v>
      </c>
      <c r="X291" s="5">
        <v>4000</v>
      </c>
      <c r="Y291" t="str">
        <f t="shared" si="58"/>
        <v>Positivo</v>
      </c>
      <c r="Z291" t="str">
        <f t="shared" si="59"/>
        <v>Positivo</v>
      </c>
      <c r="AA291" s="1">
        <f>IF(AND(Y291="Negativo",Z291="Negativo"),0,IF(AND(B291="Ativo",OR(Y291="Positivo",Z291="Positivo")),X291*8%,0))</f>
        <v>320</v>
      </c>
    </row>
    <row r="292" spans="1:27">
      <c r="A292" s="2" t="s">
        <v>24</v>
      </c>
      <c r="B292" s="2" t="str">
        <f t="shared" si="48"/>
        <v>Ativo</v>
      </c>
      <c r="C292" s="2" t="s">
        <v>593</v>
      </c>
      <c r="D292" s="2" t="str">
        <f t="shared" si="49"/>
        <v>Beric  Karstark</v>
      </c>
      <c r="E292" s="2" t="s">
        <v>594</v>
      </c>
      <c r="F292" s="2" t="str">
        <f t="shared" si="50"/>
        <v>000.000.172-00</v>
      </c>
      <c r="G292" s="2">
        <v>37</v>
      </c>
      <c r="H292" s="2">
        <f ca="1">IF(G292="", DATEDIF(J292, TODAY(), "Y"), G292)</f>
        <v>37</v>
      </c>
      <c r="I292" s="2">
        <v>32680</v>
      </c>
      <c r="J292" s="6">
        <f t="shared" si="51"/>
        <v>32680</v>
      </c>
      <c r="K292" s="2" t="s">
        <v>68</v>
      </c>
      <c r="L292" s="2" t="str" cm="1">
        <f t="array" ref="L292">_xlfn.TEXTSPLIT(K292,"|")</f>
        <v>Braavos</v>
      </c>
      <c r="M292" s="2" t="s">
        <v>64</v>
      </c>
      <c r="N292" s="3">
        <v>28900</v>
      </c>
      <c r="O292" s="3">
        <f t="shared" si="52"/>
        <v>28900</v>
      </c>
      <c r="P292" s="4">
        <v>71000</v>
      </c>
      <c r="Q292" s="5">
        <f t="shared" si="53"/>
        <v>71000</v>
      </c>
      <c r="R292" s="2" t="s">
        <v>46</v>
      </c>
      <c r="S292" s="2" t="str">
        <f t="shared" si="54"/>
        <v>Não</v>
      </c>
      <c r="T292" s="2" t="str">
        <f t="shared" si="55"/>
        <v>Não</v>
      </c>
      <c r="U292" s="2">
        <v>28</v>
      </c>
      <c r="V292" s="2">
        <f t="shared" si="56"/>
        <v>28</v>
      </c>
      <c r="W292" s="2" t="str">
        <f t="shared" si="57"/>
        <v>alto</v>
      </c>
      <c r="X292" s="5">
        <v>36500</v>
      </c>
      <c r="Y292" t="str">
        <f t="shared" si="58"/>
        <v>Positivo</v>
      </c>
      <c r="Z292" t="str">
        <f t="shared" si="59"/>
        <v>Positivo</v>
      </c>
      <c r="AA292" s="1">
        <f>IF(AND(Y292="Negativo",Z292="Negativo"),0,IF(AND(B292="Ativo",OR(Y292="Positivo",Z292="Positivo")),X292*8%,0))</f>
        <v>2920</v>
      </c>
    </row>
    <row r="293" spans="1:27">
      <c r="A293" s="2" t="s">
        <v>24</v>
      </c>
      <c r="B293" s="2" t="str">
        <f t="shared" si="48"/>
        <v>Ativo</v>
      </c>
      <c r="C293" s="2" t="s">
        <v>595</v>
      </c>
      <c r="D293" s="2" t="str">
        <f t="shared" si="49"/>
        <v>Bran Umber</v>
      </c>
      <c r="E293" s="2">
        <v>13200</v>
      </c>
      <c r="F293" s="2" t="str">
        <f t="shared" si="50"/>
        <v>000.000.132-00</v>
      </c>
      <c r="G293" s="2">
        <v>29</v>
      </c>
      <c r="H293" s="2">
        <f ca="1">IF(G293="", DATEDIF(J293, TODAY(), "Y"), G293)</f>
        <v>29</v>
      </c>
      <c r="I293" s="2">
        <v>35334</v>
      </c>
      <c r="J293" s="6">
        <f t="shared" si="51"/>
        <v>35334</v>
      </c>
      <c r="K293" s="2" t="s">
        <v>56</v>
      </c>
      <c r="L293" s="2" t="str" cm="1">
        <f t="array" ref="L293">_xlfn.TEXTSPLIT(K293,"|")</f>
        <v>Pyke</v>
      </c>
      <c r="M293" s="2" t="s">
        <v>72</v>
      </c>
      <c r="N293" s="3">
        <v>19500</v>
      </c>
      <c r="O293" s="3">
        <f t="shared" si="52"/>
        <v>19500</v>
      </c>
      <c r="P293" s="4">
        <v>57000</v>
      </c>
      <c r="Q293" s="5">
        <f t="shared" si="53"/>
        <v>57000</v>
      </c>
      <c r="R293" s="2" t="s">
        <v>46</v>
      </c>
      <c r="S293" s="2" t="str">
        <f t="shared" si="54"/>
        <v>Não</v>
      </c>
      <c r="T293" s="2" t="str">
        <f t="shared" si="55"/>
        <v>Não</v>
      </c>
      <c r="U293" s="2">
        <v>12</v>
      </c>
      <c r="V293" s="2">
        <f t="shared" si="56"/>
        <v>12</v>
      </c>
      <c r="W293" s="2" t="str">
        <f t="shared" si="57"/>
        <v>médio</v>
      </c>
      <c r="X293" s="5">
        <v>20500</v>
      </c>
      <c r="Y293" t="str">
        <f t="shared" si="58"/>
        <v>Positivo</v>
      </c>
      <c r="Z293" t="str">
        <f t="shared" si="59"/>
        <v>Positivo</v>
      </c>
      <c r="AA293" s="1">
        <f>IF(AND(Y293="Negativo",Z293="Negativo"),0,IF(AND(B293="Ativo",OR(Y293="Positivo",Z293="Positivo")),X293*8%,0))</f>
        <v>1640</v>
      </c>
    </row>
    <row r="294" spans="1:27">
      <c r="A294" s="2" t="s">
        <v>24</v>
      </c>
      <c r="B294" s="2" t="str">
        <f t="shared" si="48"/>
        <v>Ativo</v>
      </c>
      <c r="C294" s="2" t="s">
        <v>395</v>
      </c>
      <c r="D294" s="2" t="str">
        <f t="shared" si="49"/>
        <v>Thoros Yronwood</v>
      </c>
      <c r="E294" s="2" t="s">
        <v>596</v>
      </c>
      <c r="F294" s="2" t="str">
        <f t="shared" si="50"/>
        <v>000.000.104-00</v>
      </c>
      <c r="G294" s="2">
        <v>51</v>
      </c>
      <c r="H294" s="2">
        <f ca="1">IF(G294="", DATEDIF(J294, TODAY(), "Y"), G294)</f>
        <v>51</v>
      </c>
      <c r="I294" s="6">
        <v>27421</v>
      </c>
      <c r="J294" s="6">
        <f t="shared" si="51"/>
        <v>27421</v>
      </c>
      <c r="K294" s="2" t="s">
        <v>121</v>
      </c>
      <c r="L294" s="2" t="str" cm="1">
        <f t="array" ref="L294">_xlfn.TEXTSPLIT(K294,"|")</f>
        <v>Dorne</v>
      </c>
      <c r="M294" s="2" t="s">
        <v>121</v>
      </c>
      <c r="N294" s="3">
        <v>26000</v>
      </c>
      <c r="O294" s="3">
        <f t="shared" si="52"/>
        <v>26000</v>
      </c>
      <c r="P294" s="4">
        <v>47500</v>
      </c>
      <c r="Q294" s="5">
        <f t="shared" si="53"/>
        <v>47500</v>
      </c>
      <c r="R294" s="2" t="s">
        <v>46</v>
      </c>
      <c r="S294" s="2" t="str">
        <f t="shared" si="54"/>
        <v>Não</v>
      </c>
      <c r="T294" s="2" t="str">
        <f t="shared" si="55"/>
        <v>Não</v>
      </c>
      <c r="U294" s="2">
        <v>45</v>
      </c>
      <c r="V294" s="2">
        <f t="shared" si="56"/>
        <v>45</v>
      </c>
      <c r="W294" s="2" t="str">
        <f t="shared" si="57"/>
        <v>alto</v>
      </c>
      <c r="X294" s="5">
        <v>60500</v>
      </c>
      <c r="Y294" t="str">
        <f t="shared" si="58"/>
        <v>Positivo</v>
      </c>
      <c r="Z294" t="str">
        <f t="shared" si="59"/>
        <v>Positivo</v>
      </c>
      <c r="AA294" s="1">
        <f>IF(AND(Y294="Negativo",Z294="Negativo"),0,IF(AND(B294="Ativo",OR(Y294="Positivo",Z294="Positivo")),X294*8%,0))</f>
        <v>4840</v>
      </c>
    </row>
    <row r="295" spans="1:27">
      <c r="A295" s="2" t="s">
        <v>30</v>
      </c>
      <c r="B295" s="2" t="str">
        <f t="shared" si="48"/>
        <v>Inativo</v>
      </c>
      <c r="C295" s="2" t="s">
        <v>597</v>
      </c>
      <c r="D295" s="2" t="str">
        <f t="shared" si="49"/>
        <v>Davos Umber</v>
      </c>
      <c r="E295" s="2" t="s">
        <v>598</v>
      </c>
      <c r="F295" s="2" t="str">
        <f t="shared" si="50"/>
        <v>000.000.353-00</v>
      </c>
      <c r="G295" s="2">
        <v>74</v>
      </c>
      <c r="H295" s="2">
        <f ca="1">IF(G295="", DATEDIF(J295, TODAY(), "Y"), G295)</f>
        <v>74</v>
      </c>
      <c r="I295" s="6">
        <v>19047</v>
      </c>
      <c r="J295" s="6">
        <f t="shared" si="51"/>
        <v>19047</v>
      </c>
      <c r="K295" s="2" t="s">
        <v>49</v>
      </c>
      <c r="L295" s="2" t="str" cm="1">
        <f t="array" ref="L295">_xlfn.TEXTSPLIT(K295,"|")</f>
        <v>Lannisporto</v>
      </c>
      <c r="M295" s="2" t="s">
        <v>53</v>
      </c>
      <c r="N295" s="3">
        <v>24000</v>
      </c>
      <c r="O295" s="3">
        <f t="shared" si="52"/>
        <v>24000</v>
      </c>
      <c r="P295" s="4">
        <v>35000</v>
      </c>
      <c r="Q295" s="5">
        <f t="shared" si="53"/>
        <v>35000</v>
      </c>
      <c r="R295" s="2" t="s">
        <v>46</v>
      </c>
      <c r="S295" s="2" t="str">
        <f t="shared" si="54"/>
        <v>Não</v>
      </c>
      <c r="T295" s="2" t="str">
        <f t="shared" si="55"/>
        <v>Não</v>
      </c>
      <c r="U295" s="2">
        <v>6</v>
      </c>
      <c r="V295" s="2">
        <f t="shared" si="56"/>
        <v>6</v>
      </c>
      <c r="W295" s="2" t="str">
        <f t="shared" si="57"/>
        <v>baixo</v>
      </c>
      <c r="X295" s="5">
        <v>29500</v>
      </c>
      <c r="Y295" t="str">
        <f t="shared" si="58"/>
        <v>Positivo</v>
      </c>
      <c r="Z295" t="str">
        <f t="shared" si="59"/>
        <v>Positivo</v>
      </c>
      <c r="AA295" s="1">
        <f>IF(AND(Y295="Negativo",Z295="Negativo"),0,IF(AND(B295="Ativo",OR(Y295="Positivo",Z295="Positivo")),X295*8%,0))</f>
        <v>0</v>
      </c>
    </row>
    <row r="296" spans="1:27">
      <c r="A296" s="2" t="s">
        <v>24</v>
      </c>
      <c r="B296" s="2" t="str">
        <f t="shared" si="48"/>
        <v>Ativo</v>
      </c>
      <c r="C296" s="2" t="s">
        <v>599</v>
      </c>
      <c r="D296" s="2" t="str">
        <f t="shared" si="49"/>
        <v>Aegon Redwyne</v>
      </c>
      <c r="E296" s="2" t="s">
        <v>600</v>
      </c>
      <c r="F296" s="2" t="str">
        <f t="shared" si="50"/>
        <v>000.000.347-00</v>
      </c>
      <c r="G296" s="2">
        <v>19</v>
      </c>
      <c r="H296" s="2">
        <f ca="1">IF(G296="", DATEDIF(J296, TODAY(), "Y"), G296)</f>
        <v>19</v>
      </c>
      <c r="I296" s="2">
        <v>39016</v>
      </c>
      <c r="J296" s="6">
        <f t="shared" si="51"/>
        <v>39016</v>
      </c>
      <c r="K296" s="2" t="s">
        <v>56</v>
      </c>
      <c r="L296" s="2" t="str" cm="1">
        <f t="array" ref="L296">_xlfn.TEXTSPLIT(K296,"|")</f>
        <v>Pyke</v>
      </c>
      <c r="M296" s="2" t="s">
        <v>194</v>
      </c>
      <c r="N296" s="3">
        <v>14900</v>
      </c>
      <c r="O296" s="3">
        <f t="shared" si="52"/>
        <v>14900</v>
      </c>
      <c r="P296" s="4">
        <v>17000</v>
      </c>
      <c r="Q296" s="5">
        <f t="shared" si="53"/>
        <v>17000</v>
      </c>
      <c r="R296" s="2" t="s">
        <v>46</v>
      </c>
      <c r="S296" s="2" t="str">
        <f t="shared" si="54"/>
        <v>Não</v>
      </c>
      <c r="T296" s="2" t="str">
        <f t="shared" si="55"/>
        <v>Não</v>
      </c>
      <c r="U296" s="2">
        <v>20</v>
      </c>
      <c r="V296" s="2">
        <f t="shared" si="56"/>
        <v>20</v>
      </c>
      <c r="W296" s="2" t="str">
        <f t="shared" si="57"/>
        <v>médio</v>
      </c>
      <c r="X296" s="5">
        <v>29500</v>
      </c>
      <c r="Y296" t="str">
        <f t="shared" si="58"/>
        <v>Positivo</v>
      </c>
      <c r="Z296" t="str">
        <f t="shared" si="59"/>
        <v>Positivo</v>
      </c>
      <c r="AA296" s="1">
        <f>IF(AND(Y296="Negativo",Z296="Negativo"),0,IF(AND(B296="Ativo",OR(Y296="Positivo",Z296="Positivo")),X296*8%,0))</f>
        <v>2360</v>
      </c>
    </row>
    <row r="297" spans="1:27">
      <c r="A297" s="2" t="s">
        <v>30</v>
      </c>
      <c r="B297" s="2" t="str">
        <f t="shared" si="48"/>
        <v>Inativo</v>
      </c>
      <c r="C297" s="2" t="s">
        <v>601</v>
      </c>
      <c r="D297" s="2" t="str">
        <f t="shared" si="49"/>
        <v>Robert Mallister</v>
      </c>
      <c r="E297" s="2">
        <v>32700</v>
      </c>
      <c r="F297" s="2" t="str">
        <f t="shared" si="50"/>
        <v>000.000.327-00</v>
      </c>
      <c r="G297" s="2">
        <v>57</v>
      </c>
      <c r="H297" s="2">
        <f ca="1">IF(G297="", DATEDIF(J297, TODAY(), "Y"), G297)</f>
        <v>57</v>
      </c>
      <c r="I297" s="6">
        <v>25369</v>
      </c>
      <c r="J297" s="6">
        <f t="shared" si="51"/>
        <v>25369</v>
      </c>
      <c r="K297" s="2" t="s">
        <v>68</v>
      </c>
      <c r="L297" s="2" t="str" cm="1">
        <f t="array" ref="L297">_xlfn.TEXTSPLIT(K297,"|")</f>
        <v>Braavos</v>
      </c>
      <c r="M297" s="2" t="s">
        <v>187</v>
      </c>
      <c r="N297" s="3">
        <v>28600</v>
      </c>
      <c r="O297" s="3">
        <f t="shared" si="52"/>
        <v>28600</v>
      </c>
      <c r="P297" s="4">
        <v>73500</v>
      </c>
      <c r="Q297" s="5">
        <f t="shared" si="53"/>
        <v>73500</v>
      </c>
      <c r="R297" s="2" t="s">
        <v>46</v>
      </c>
      <c r="S297" s="2" t="str">
        <f t="shared" si="54"/>
        <v>Não</v>
      </c>
      <c r="T297" s="2" t="str">
        <f t="shared" si="55"/>
        <v>Não</v>
      </c>
      <c r="U297" s="2">
        <v>29</v>
      </c>
      <c r="V297" s="2">
        <f t="shared" si="56"/>
        <v>29</v>
      </c>
      <c r="W297" s="2" t="str">
        <f t="shared" si="57"/>
        <v>alto</v>
      </c>
      <c r="X297" s="5">
        <v>93500</v>
      </c>
      <c r="Y297" t="str">
        <f t="shared" si="58"/>
        <v>Positivo</v>
      </c>
      <c r="Z297" t="str">
        <f t="shared" si="59"/>
        <v>Positivo</v>
      </c>
      <c r="AA297" s="1">
        <f>IF(AND(Y297="Negativo",Z297="Negativo"),0,IF(AND(B297="Ativo",OR(Y297="Positivo",Z297="Positivo")),X297*8%,0))</f>
        <v>0</v>
      </c>
    </row>
    <row r="298" spans="1:27">
      <c r="A298" s="2" t="s">
        <v>30</v>
      </c>
      <c r="B298" s="2" t="str">
        <f t="shared" si="48"/>
        <v>Inativo</v>
      </c>
      <c r="C298" s="2" t="s">
        <v>602</v>
      </c>
      <c r="D298" s="2" t="str">
        <f t="shared" si="49"/>
        <v>Margaery Dondarrion</v>
      </c>
      <c r="E298" s="2">
        <v>19200</v>
      </c>
      <c r="F298" s="2" t="str">
        <f t="shared" si="50"/>
        <v>000.000.192-00</v>
      </c>
      <c r="G298" s="2">
        <v>50</v>
      </c>
      <c r="H298" s="2">
        <f ca="1">IF(G298="", DATEDIF(J298, TODAY(), "Y"), G298)</f>
        <v>50</v>
      </c>
      <c r="I298" s="2">
        <v>27833</v>
      </c>
      <c r="J298" s="6">
        <f t="shared" si="51"/>
        <v>27833</v>
      </c>
      <c r="K298" s="2" t="s">
        <v>442</v>
      </c>
      <c r="L298" s="2" t="str" cm="1">
        <f t="array" ref="L298:M298">_xlfn.TEXTSPLIT(K298,"|")</f>
        <v xml:space="preserve">Correrrio </v>
      </c>
      <c r="M298" s="2" t="str">
        <v xml:space="preserve"> Terras Fluviais</v>
      </c>
      <c r="N298" s="3">
        <v>16200</v>
      </c>
      <c r="O298" s="3">
        <f t="shared" si="52"/>
        <v>16200</v>
      </c>
      <c r="P298" s="4">
        <v>25000</v>
      </c>
      <c r="Q298" s="5">
        <f t="shared" si="53"/>
        <v>25000</v>
      </c>
      <c r="R298" s="2" t="s">
        <v>176</v>
      </c>
      <c r="S298" s="2" t="str">
        <f t="shared" si="54"/>
        <v>NÃO</v>
      </c>
      <c r="T298" s="2" t="str">
        <f t="shared" si="55"/>
        <v>Não</v>
      </c>
      <c r="U298" s="2">
        <v>26</v>
      </c>
      <c r="V298" s="2">
        <f t="shared" si="56"/>
        <v>26</v>
      </c>
      <c r="W298" s="2" t="str">
        <f t="shared" si="57"/>
        <v>alto</v>
      </c>
      <c r="X298" s="5">
        <v>65000</v>
      </c>
      <c r="Y298" t="str">
        <f t="shared" si="58"/>
        <v>Positivo</v>
      </c>
      <c r="Z298" t="str">
        <f t="shared" si="59"/>
        <v>Positivo</v>
      </c>
      <c r="AA298" s="1">
        <f>IF(AND(Y298="Negativo",Z298="Negativo"),0,IF(AND(B298="Ativo",OR(Y298="Positivo",Z298="Positivo")),X298*8%,0))</f>
        <v>0</v>
      </c>
    </row>
    <row r="299" spans="1:27">
      <c r="A299" s="2" t="s">
        <v>24</v>
      </c>
      <c r="B299" s="2" t="str">
        <f t="shared" si="48"/>
        <v>Ativo</v>
      </c>
      <c r="C299" s="2" t="s">
        <v>352</v>
      </c>
      <c r="D299" s="2" t="str">
        <f t="shared" si="49"/>
        <v>Robert Hornwood</v>
      </c>
      <c r="E299" s="2">
        <v>28500</v>
      </c>
      <c r="F299" s="2" t="str">
        <f t="shared" si="50"/>
        <v>000.000.285-00</v>
      </c>
      <c r="G299" s="2">
        <v>41</v>
      </c>
      <c r="H299" s="2">
        <f ca="1">IF(G299="", DATEDIF(J299, TODAY(), "Y"), G299)</f>
        <v>41</v>
      </c>
      <c r="I299" s="2">
        <v>31115</v>
      </c>
      <c r="J299" s="6">
        <f t="shared" si="51"/>
        <v>31115</v>
      </c>
      <c r="K299" s="2" t="s">
        <v>80</v>
      </c>
      <c r="L299" s="2" t="str" cm="1">
        <f t="array" ref="L299">_xlfn.TEXTSPLIT(K299,"|")</f>
        <v>Castelo Negro</v>
      </c>
      <c r="M299" s="2" t="s">
        <v>81</v>
      </c>
      <c r="N299" s="3">
        <v>23100</v>
      </c>
      <c r="O299" s="3">
        <f t="shared" si="52"/>
        <v>23100</v>
      </c>
      <c r="P299" s="4">
        <v>36000</v>
      </c>
      <c r="Q299" s="5">
        <f t="shared" si="53"/>
        <v>36000</v>
      </c>
      <c r="R299" s="2" t="s">
        <v>46</v>
      </c>
      <c r="S299" s="2" t="str">
        <f t="shared" si="54"/>
        <v>Não</v>
      </c>
      <c r="T299" s="2" t="str">
        <f t="shared" si="55"/>
        <v>Não</v>
      </c>
      <c r="U299" s="2">
        <v>19</v>
      </c>
      <c r="V299" s="2">
        <f t="shared" si="56"/>
        <v>19</v>
      </c>
      <c r="W299" s="2" t="str">
        <f t="shared" si="57"/>
        <v>médio</v>
      </c>
      <c r="X299" s="5">
        <v>37500</v>
      </c>
      <c r="Y299" t="str">
        <f t="shared" si="58"/>
        <v>Positivo</v>
      </c>
      <c r="Z299" t="str">
        <f t="shared" si="59"/>
        <v>Positivo</v>
      </c>
      <c r="AA299" s="1">
        <f>IF(AND(Y299="Negativo",Z299="Negativo"),0,IF(AND(B299="Ativo",OR(Y299="Positivo",Z299="Positivo")),X299*8%,0))</f>
        <v>3000</v>
      </c>
    </row>
    <row r="300" spans="1:27">
      <c r="A300" s="2" t="s">
        <v>24</v>
      </c>
      <c r="B300" s="2" t="str">
        <f t="shared" si="48"/>
        <v>Ativo</v>
      </c>
      <c r="C300" s="2" t="s">
        <v>603</v>
      </c>
      <c r="D300" s="2" t="str">
        <f t="shared" si="49"/>
        <v>Roose Bolton</v>
      </c>
      <c r="E300" s="2">
        <v>13700</v>
      </c>
      <c r="F300" s="2" t="str">
        <f t="shared" si="50"/>
        <v>000.000.137-00</v>
      </c>
      <c r="G300" s="2">
        <v>73</v>
      </c>
      <c r="H300" s="2">
        <f ca="1">IF(G300="", DATEDIF(J300, TODAY(), "Y"), G300)</f>
        <v>73</v>
      </c>
      <c r="I300" s="6">
        <v>19323</v>
      </c>
      <c r="J300" s="6">
        <f t="shared" si="51"/>
        <v>19323</v>
      </c>
      <c r="K300" s="2" t="s">
        <v>174</v>
      </c>
      <c r="L300" s="2" t="str" cm="1">
        <f t="array" ref="L300">_xlfn.TEXTSPLIT(K300,"|")</f>
        <v>Atalaia da Água Cinzenta</v>
      </c>
      <c r="M300" s="2" t="s">
        <v>367</v>
      </c>
      <c r="N300" s="3">
        <v>18100</v>
      </c>
      <c r="O300" s="3">
        <f t="shared" si="52"/>
        <v>18100</v>
      </c>
      <c r="P300" s="4">
        <v>0</v>
      </c>
      <c r="Q300" s="5">
        <f t="shared" si="53"/>
        <v>0</v>
      </c>
      <c r="R300" s="2" t="s">
        <v>46</v>
      </c>
      <c r="S300" s="2" t="str">
        <f t="shared" si="54"/>
        <v>Não</v>
      </c>
      <c r="T300" s="2" t="str">
        <f t="shared" si="55"/>
        <v>Não</v>
      </c>
      <c r="U300" s="2">
        <v>36</v>
      </c>
      <c r="V300" s="2">
        <f t="shared" si="56"/>
        <v>36</v>
      </c>
      <c r="W300" s="2" t="str">
        <f t="shared" si="57"/>
        <v>alto</v>
      </c>
      <c r="X300" s="5">
        <v>89000</v>
      </c>
      <c r="Y300" t="str">
        <f t="shared" si="58"/>
        <v>Positivo</v>
      </c>
      <c r="Z300" t="str">
        <f t="shared" si="59"/>
        <v>Positivo</v>
      </c>
      <c r="AA300" s="1">
        <f>IF(AND(Y300="Negativo",Z300="Negativo"),0,IF(AND(B300="Ativo",OR(Y300="Positivo",Z300="Positivo")),X300*8%,0))</f>
        <v>7120</v>
      </c>
    </row>
    <row r="301" spans="1:27">
      <c r="A301" s="2" t="s">
        <v>111</v>
      </c>
      <c r="B301" s="2" t="str">
        <f t="shared" si="48"/>
        <v>Ativo</v>
      </c>
      <c r="C301" s="2" t="s">
        <v>604</v>
      </c>
      <c r="D301" s="2" t="str">
        <f t="shared" si="49"/>
        <v>Jon Hornwood</v>
      </c>
      <c r="E301" s="2">
        <v>33100</v>
      </c>
      <c r="F301" s="2" t="str">
        <f t="shared" si="50"/>
        <v>000.000.331-00</v>
      </c>
      <c r="H301" s="2">
        <f ca="1">IF(G301="", DATEDIF(J301, TODAY(), "Y"), G301)</f>
        <v>26</v>
      </c>
      <c r="I301" s="2">
        <v>36759</v>
      </c>
      <c r="J301" s="6">
        <f t="shared" si="51"/>
        <v>36759</v>
      </c>
      <c r="K301" s="2" t="s">
        <v>121</v>
      </c>
      <c r="L301" s="2" t="str" cm="1">
        <f t="array" ref="L301">_xlfn.TEXTSPLIT(K301,"|")</f>
        <v>Dorne</v>
      </c>
      <c r="M301" s="2" t="s">
        <v>121</v>
      </c>
      <c r="N301" s="3">
        <v>23200</v>
      </c>
      <c r="O301" s="3">
        <f t="shared" si="52"/>
        <v>23200</v>
      </c>
      <c r="P301" s="4">
        <v>54500</v>
      </c>
      <c r="Q301" s="5">
        <f t="shared" si="53"/>
        <v>54500</v>
      </c>
      <c r="R301" s="2">
        <v>1</v>
      </c>
      <c r="S301" s="2" t="str">
        <f t="shared" si="54"/>
        <v>sim</v>
      </c>
      <c r="T301" s="2" t="str">
        <f t="shared" si="55"/>
        <v>Sim</v>
      </c>
      <c r="U301" s="2">
        <v>26</v>
      </c>
      <c r="V301" s="2">
        <f t="shared" si="56"/>
        <v>26</v>
      </c>
      <c r="W301" s="2" t="str">
        <f t="shared" si="57"/>
        <v>alto</v>
      </c>
      <c r="X301" s="5">
        <v>75000</v>
      </c>
      <c r="Y301" t="str">
        <f t="shared" si="58"/>
        <v>Negativo</v>
      </c>
      <c r="Z301" t="str">
        <f t="shared" si="59"/>
        <v>Negativo</v>
      </c>
      <c r="AA301" s="1">
        <f>IF(AND(Y301="Negativo",Z301="Negativo"),0,IF(AND(B301="Ativo",OR(Y301="Positivo",Z301="Positivo")),X301*8%,0))</f>
        <v>0</v>
      </c>
    </row>
    <row r="302" spans="1:27">
      <c r="A302" s="2" t="s">
        <v>24</v>
      </c>
      <c r="B302" s="2" t="str">
        <f t="shared" si="48"/>
        <v>Ativo</v>
      </c>
      <c r="C302" s="2" t="s">
        <v>605</v>
      </c>
      <c r="D302" s="2" t="str">
        <f t="shared" si="49"/>
        <v>Shae  Dayne</v>
      </c>
      <c r="E302" s="2" t="s">
        <v>606</v>
      </c>
      <c r="F302" s="2" t="str">
        <f t="shared" si="50"/>
        <v>000.000.312-00</v>
      </c>
      <c r="G302" s="2">
        <v>25</v>
      </c>
      <c r="H302" s="2">
        <f ca="1">IF(G302="", DATEDIF(J302, TODAY(), "Y"), G302)</f>
        <v>25</v>
      </c>
      <c r="I302" s="6">
        <v>36792</v>
      </c>
      <c r="J302" s="6">
        <f t="shared" si="51"/>
        <v>36792</v>
      </c>
      <c r="K302" s="2" t="s">
        <v>27</v>
      </c>
      <c r="L302" s="2" t="str" cm="1">
        <f t="array" ref="L302">_xlfn.TEXTSPLIT(K302,"|")</f>
        <v>Ninho da Águia</v>
      </c>
      <c r="M302" s="2" t="s">
        <v>28</v>
      </c>
      <c r="N302" s="3">
        <v>22100</v>
      </c>
      <c r="O302" s="3">
        <f t="shared" si="52"/>
        <v>22100</v>
      </c>
      <c r="P302" s="4">
        <v>30500</v>
      </c>
      <c r="Q302" s="5">
        <f t="shared" si="53"/>
        <v>30500</v>
      </c>
      <c r="R302" s="2" t="s">
        <v>46</v>
      </c>
      <c r="S302" s="2" t="str">
        <f t="shared" si="54"/>
        <v>Não</v>
      </c>
      <c r="T302" s="2" t="str">
        <f t="shared" si="55"/>
        <v>Não</v>
      </c>
      <c r="U302" s="2">
        <v>28</v>
      </c>
      <c r="V302" s="2">
        <f t="shared" si="56"/>
        <v>28</v>
      </c>
      <c r="W302" s="2" t="str">
        <f t="shared" si="57"/>
        <v>alto</v>
      </c>
      <c r="X302" s="5">
        <v>48000</v>
      </c>
      <c r="Y302" t="str">
        <f t="shared" si="58"/>
        <v>Positivo</v>
      </c>
      <c r="Z302" t="str">
        <f t="shared" si="59"/>
        <v>Positivo</v>
      </c>
      <c r="AA302" s="1">
        <f>IF(AND(Y302="Negativo",Z302="Negativo"),0,IF(AND(B302="Ativo",OR(Y302="Positivo",Z302="Positivo")),X302*8%,0))</f>
        <v>3840</v>
      </c>
    </row>
    <row r="303" spans="1:27">
      <c r="A303" s="2" t="s">
        <v>50</v>
      </c>
      <c r="B303" s="2" t="str">
        <f t="shared" si="48"/>
        <v>Ativo</v>
      </c>
      <c r="C303" s="2" t="s">
        <v>607</v>
      </c>
      <c r="D303" s="2" t="str">
        <f t="shared" si="49"/>
        <v>Petyr Swyft</v>
      </c>
      <c r="E303" s="2" t="s">
        <v>608</v>
      </c>
      <c r="F303" s="2" t="str">
        <f t="shared" si="50"/>
        <v>000.000.275-00</v>
      </c>
      <c r="G303" s="2">
        <v>36</v>
      </c>
      <c r="H303" s="2">
        <f ca="1">IF(G303="", DATEDIF(J303, TODAY(), "Y"), G303)</f>
        <v>36</v>
      </c>
      <c r="I303" s="2">
        <v>33117</v>
      </c>
      <c r="J303" s="6">
        <f t="shared" si="51"/>
        <v>33117</v>
      </c>
      <c r="K303" s="2" t="s">
        <v>174</v>
      </c>
      <c r="L303" s="2" t="str" cm="1">
        <f t="array" ref="L303">_xlfn.TEXTSPLIT(K303,"|")</f>
        <v>Atalaia da Água Cinzenta</v>
      </c>
      <c r="M303" s="2" t="s">
        <v>367</v>
      </c>
      <c r="N303" s="3">
        <v>11600</v>
      </c>
      <c r="O303" s="3">
        <f t="shared" si="52"/>
        <v>11600</v>
      </c>
      <c r="P303" s="4">
        <v>78500</v>
      </c>
      <c r="Q303" s="5">
        <f t="shared" si="53"/>
        <v>78500</v>
      </c>
      <c r="R303" s="2" t="s">
        <v>46</v>
      </c>
      <c r="S303" s="2" t="str">
        <f t="shared" si="54"/>
        <v>Não</v>
      </c>
      <c r="T303" s="2" t="str">
        <f t="shared" si="55"/>
        <v>Não</v>
      </c>
      <c r="U303" s="2">
        <v>1</v>
      </c>
      <c r="V303" s="2">
        <f t="shared" si="56"/>
        <v>1</v>
      </c>
      <c r="W303" s="2" t="str">
        <f t="shared" si="57"/>
        <v>baixo</v>
      </c>
      <c r="X303" s="5">
        <v>42000</v>
      </c>
      <c r="Y303" t="str">
        <f t="shared" si="58"/>
        <v>Positivo</v>
      </c>
      <c r="Z303" t="str">
        <f t="shared" si="59"/>
        <v>Positivo</v>
      </c>
      <c r="AA303" s="1">
        <f>IF(AND(Y303="Negativo",Z303="Negativo"),0,IF(AND(B303="Ativo",OR(Y303="Positivo",Z303="Positivo")),X303*8%,0))</f>
        <v>3360</v>
      </c>
    </row>
    <row r="304" spans="1:27">
      <c r="A304" s="2" t="s">
        <v>30</v>
      </c>
      <c r="B304" s="2" t="str">
        <f t="shared" si="48"/>
        <v>Inativo</v>
      </c>
      <c r="C304" s="2" t="s">
        <v>609</v>
      </c>
      <c r="D304" s="2" t="str">
        <f t="shared" si="49"/>
        <v>Jaime Bracken</v>
      </c>
      <c r="E304" s="2">
        <v>16600</v>
      </c>
      <c r="F304" s="2" t="str">
        <f t="shared" si="50"/>
        <v>000.000.166-00</v>
      </c>
      <c r="G304" s="2">
        <v>35</v>
      </c>
      <c r="H304" s="2">
        <f ca="1">IF(G304="", DATEDIF(J304, TODAY(), "Y"), G304)</f>
        <v>35</v>
      </c>
      <c r="I304" s="2">
        <v>33417</v>
      </c>
      <c r="J304" s="6">
        <f t="shared" si="51"/>
        <v>33417</v>
      </c>
      <c r="K304" s="2" t="s">
        <v>110</v>
      </c>
      <c r="L304" s="2" t="str" cm="1">
        <f t="array" ref="L304">_xlfn.TEXTSPLIT(K304,"|")</f>
        <v>Jardim de Cima</v>
      </c>
      <c r="M304" s="2" t="s">
        <v>152</v>
      </c>
      <c r="N304" s="3">
        <v>12400</v>
      </c>
      <c r="O304" s="3">
        <f t="shared" si="52"/>
        <v>12400</v>
      </c>
      <c r="P304" s="4">
        <v>0</v>
      </c>
      <c r="Q304" s="5">
        <f t="shared" si="53"/>
        <v>0</v>
      </c>
      <c r="R304" s="2" t="s">
        <v>46</v>
      </c>
      <c r="S304" s="2" t="str">
        <f t="shared" si="54"/>
        <v>Não</v>
      </c>
      <c r="T304" s="2" t="str">
        <f t="shared" si="55"/>
        <v>Não</v>
      </c>
      <c r="U304" s="2">
        <v>3</v>
      </c>
      <c r="V304" s="2">
        <f t="shared" si="56"/>
        <v>3</v>
      </c>
      <c r="W304" s="2" t="str">
        <f t="shared" si="57"/>
        <v>baixo</v>
      </c>
      <c r="X304" s="5">
        <v>83500</v>
      </c>
      <c r="Y304" t="str">
        <f t="shared" si="58"/>
        <v>Positivo</v>
      </c>
      <c r="Z304" t="str">
        <f t="shared" si="59"/>
        <v>Positivo</v>
      </c>
      <c r="AA304" s="1">
        <f>IF(AND(Y304="Negativo",Z304="Negativo"),0,IF(AND(B304="Ativo",OR(Y304="Positivo",Z304="Positivo")),X304*8%,0))</f>
        <v>0</v>
      </c>
    </row>
    <row r="305" spans="1:27">
      <c r="A305" s="2" t="s">
        <v>24</v>
      </c>
      <c r="B305" s="2" t="str">
        <f t="shared" si="48"/>
        <v>Ativo</v>
      </c>
      <c r="C305" s="2" t="s">
        <v>610</v>
      </c>
      <c r="D305" s="2" t="str">
        <f t="shared" si="49"/>
        <v>Rhaegar Mormont</v>
      </c>
      <c r="E305" s="2" t="s">
        <v>611</v>
      </c>
      <c r="F305" s="2" t="str">
        <f t="shared" si="50"/>
        <v>000.000.109-00</v>
      </c>
      <c r="G305" s="2">
        <v>64</v>
      </c>
      <c r="H305" s="2">
        <f ca="1">IF(G305="", DATEDIF(J305, TODAY(), "Y"), G305)</f>
        <v>64</v>
      </c>
      <c r="I305" s="6">
        <v>22845</v>
      </c>
      <c r="J305" s="6">
        <f t="shared" si="51"/>
        <v>22845</v>
      </c>
      <c r="K305" s="2" t="s">
        <v>100</v>
      </c>
      <c r="L305" s="2" t="str" cm="1">
        <f t="array" ref="L305">_xlfn.TEXTSPLIT(K305,"|")</f>
        <v>Fosso Cailin</v>
      </c>
      <c r="M305" s="2" t="s">
        <v>114</v>
      </c>
      <c r="N305" s="3">
        <v>12700</v>
      </c>
      <c r="O305" s="3">
        <f t="shared" si="52"/>
        <v>12700</v>
      </c>
      <c r="P305" s="4">
        <v>0</v>
      </c>
      <c r="Q305" s="5">
        <f t="shared" si="53"/>
        <v>0</v>
      </c>
      <c r="R305" s="2" t="s">
        <v>46</v>
      </c>
      <c r="S305" s="2" t="str">
        <f t="shared" si="54"/>
        <v>Não</v>
      </c>
      <c r="T305" s="2" t="str">
        <f t="shared" si="55"/>
        <v>Não</v>
      </c>
      <c r="U305" s="2">
        <v>21</v>
      </c>
      <c r="V305" s="2">
        <f t="shared" si="56"/>
        <v>21</v>
      </c>
      <c r="W305" s="2" t="str">
        <f t="shared" si="57"/>
        <v>médio</v>
      </c>
      <c r="X305" s="5">
        <v>50500</v>
      </c>
      <c r="Y305" t="str">
        <f t="shared" si="58"/>
        <v>Positivo</v>
      </c>
      <c r="Z305" t="str">
        <f t="shared" si="59"/>
        <v>Positivo</v>
      </c>
      <c r="AA305" s="1">
        <f>IF(AND(Y305="Negativo",Z305="Negativo"),0,IF(AND(B305="Ativo",OR(Y305="Positivo",Z305="Positivo")),X305*8%,0))</f>
        <v>4040</v>
      </c>
    </row>
    <row r="306" spans="1:27">
      <c r="A306" s="2" t="s">
        <v>24</v>
      </c>
      <c r="B306" s="2" t="str">
        <f t="shared" si="48"/>
        <v>Ativo</v>
      </c>
      <c r="C306" s="2" t="s">
        <v>612</v>
      </c>
      <c r="D306" s="2" t="str">
        <f t="shared" si="49"/>
        <v>Jorah Florent</v>
      </c>
      <c r="E306" s="2" t="s">
        <v>613</v>
      </c>
      <c r="F306" s="2" t="str">
        <f t="shared" si="50"/>
        <v>000.000.204-00</v>
      </c>
      <c r="G306" s="2">
        <v>49</v>
      </c>
      <c r="H306" s="2">
        <f ca="1">IF(G306="", DATEDIF(J306, TODAY(), "Y"), G306)</f>
        <v>49</v>
      </c>
      <c r="I306" s="2">
        <v>28147</v>
      </c>
      <c r="J306" s="6">
        <f t="shared" si="51"/>
        <v>28147</v>
      </c>
      <c r="K306" s="2" t="s">
        <v>158</v>
      </c>
      <c r="L306" s="2" t="str" cm="1">
        <f t="array" ref="L306">_xlfn.TEXTSPLIT(K306,"|")</f>
        <v>Porto Real</v>
      </c>
      <c r="M306" s="2" t="s">
        <v>327</v>
      </c>
      <c r="N306" s="3">
        <v>28400</v>
      </c>
      <c r="O306" s="3">
        <f t="shared" si="52"/>
        <v>28400</v>
      </c>
      <c r="P306" s="4">
        <v>38500</v>
      </c>
      <c r="Q306" s="5">
        <f t="shared" si="53"/>
        <v>38500</v>
      </c>
      <c r="R306" s="2" t="s">
        <v>128</v>
      </c>
      <c r="S306" s="2" t="str">
        <f t="shared" si="54"/>
        <v>Nao</v>
      </c>
      <c r="T306" s="2" t="str">
        <f t="shared" si="55"/>
        <v>Não</v>
      </c>
      <c r="U306" s="2">
        <v>26</v>
      </c>
      <c r="V306" s="2">
        <f t="shared" si="56"/>
        <v>26</v>
      </c>
      <c r="W306" s="2" t="str">
        <f t="shared" si="57"/>
        <v>alto</v>
      </c>
      <c r="X306" s="5">
        <v>51000</v>
      </c>
      <c r="Y306" t="str">
        <f t="shared" si="58"/>
        <v>Positivo</v>
      </c>
      <c r="Z306" t="str">
        <f t="shared" si="59"/>
        <v>Positivo</v>
      </c>
      <c r="AA306" s="1">
        <f>IF(AND(Y306="Negativo",Z306="Negativo"),0,IF(AND(B306="Ativo",OR(Y306="Positivo",Z306="Positivo")),X306*8%,0))</f>
        <v>4080</v>
      </c>
    </row>
    <row r="307" spans="1:27">
      <c r="A307" s="2" t="s">
        <v>24</v>
      </c>
      <c r="B307" s="2" t="str">
        <f t="shared" si="48"/>
        <v>Ativo</v>
      </c>
      <c r="C307" s="2" t="s">
        <v>614</v>
      </c>
      <c r="D307" s="2" t="str">
        <f t="shared" si="49"/>
        <v>Asha Blackwood</v>
      </c>
      <c r="E307" s="2" t="s">
        <v>615</v>
      </c>
      <c r="F307" s="2" t="str">
        <f t="shared" si="50"/>
        <v>000.000.085-00</v>
      </c>
      <c r="G307" s="2">
        <v>50</v>
      </c>
      <c r="H307" s="2">
        <f ca="1">IF(G307="", DATEDIF(J307, TODAY(), "Y"), G307)</f>
        <v>50</v>
      </c>
      <c r="I307" s="6">
        <v>27886</v>
      </c>
      <c r="J307" s="6">
        <f t="shared" si="51"/>
        <v>27886</v>
      </c>
      <c r="K307" s="2" t="s">
        <v>121</v>
      </c>
      <c r="L307" s="2" t="str" cm="1">
        <f t="array" ref="L307">_xlfn.TEXTSPLIT(K307,"|")</f>
        <v>Dorne</v>
      </c>
      <c r="M307" s="2" t="s">
        <v>121</v>
      </c>
      <c r="N307" s="3">
        <v>16100</v>
      </c>
      <c r="O307" s="3">
        <f t="shared" si="52"/>
        <v>16100</v>
      </c>
      <c r="P307" s="4">
        <v>8000</v>
      </c>
      <c r="Q307" s="5">
        <f t="shared" si="53"/>
        <v>8000</v>
      </c>
      <c r="R307" s="2" t="s">
        <v>29</v>
      </c>
      <c r="S307" s="2" t="str">
        <f t="shared" si="54"/>
        <v>Sim</v>
      </c>
      <c r="T307" s="2" t="str">
        <f t="shared" si="55"/>
        <v>Sim</v>
      </c>
      <c r="U307" s="2">
        <v>30</v>
      </c>
      <c r="V307" s="2">
        <f t="shared" si="56"/>
        <v>30</v>
      </c>
      <c r="W307" s="2" t="str">
        <f t="shared" si="57"/>
        <v>alto</v>
      </c>
      <c r="X307" s="5">
        <v>27000</v>
      </c>
      <c r="Y307" t="str">
        <f t="shared" si="58"/>
        <v>Negativo</v>
      </c>
      <c r="Z307" t="str">
        <f t="shared" si="59"/>
        <v>Positivo</v>
      </c>
      <c r="AA307" s="1">
        <f>IF(AND(Y307="Negativo",Z307="Negativo"),0,IF(AND(B307="Ativo",OR(Y307="Positivo",Z307="Positivo")),X307*8%,0))</f>
        <v>2160</v>
      </c>
    </row>
    <row r="308" spans="1:27">
      <c r="B308" s="2" t="str">
        <f t="shared" si="48"/>
        <v>Inativo</v>
      </c>
      <c r="C308" s="2" t="s">
        <v>616</v>
      </c>
      <c r="D308" s="2" t="str">
        <f t="shared" si="49"/>
        <v>Gilly Swyft</v>
      </c>
      <c r="E308" s="2" t="s">
        <v>617</v>
      </c>
      <c r="F308" s="2" t="str">
        <f t="shared" si="50"/>
        <v>000.000.261-00</v>
      </c>
      <c r="H308" s="2">
        <f ca="1">IF(G308="", DATEDIF(J308, TODAY(), "Y"), G308)</f>
        <v>35</v>
      </c>
      <c r="I308" s="6">
        <v>33188</v>
      </c>
      <c r="J308" s="6">
        <f t="shared" si="51"/>
        <v>33188</v>
      </c>
      <c r="K308" s="2" t="s">
        <v>68</v>
      </c>
      <c r="L308" s="2" t="str" cm="1">
        <f t="array" ref="L308">_xlfn.TEXTSPLIT(K308,"|")</f>
        <v>Braavos</v>
      </c>
      <c r="M308" s="2" t="s">
        <v>64</v>
      </c>
      <c r="N308" s="3">
        <v>29900</v>
      </c>
      <c r="O308" s="3">
        <f t="shared" si="52"/>
        <v>29900</v>
      </c>
      <c r="P308" s="4">
        <v>64500</v>
      </c>
      <c r="Q308" s="5">
        <f t="shared" si="53"/>
        <v>64500</v>
      </c>
      <c r="R308" s="2" t="s">
        <v>46</v>
      </c>
      <c r="S308" s="2" t="str">
        <f t="shared" si="54"/>
        <v>Não</v>
      </c>
      <c r="T308" s="2" t="str">
        <f t="shared" si="55"/>
        <v>Não</v>
      </c>
      <c r="U308" s="2">
        <v>34</v>
      </c>
      <c r="V308" s="2">
        <f t="shared" si="56"/>
        <v>34</v>
      </c>
      <c r="W308" s="2" t="str">
        <f t="shared" si="57"/>
        <v>alto</v>
      </c>
      <c r="X308" s="5">
        <v>48500</v>
      </c>
      <c r="Y308" t="str">
        <f t="shared" si="58"/>
        <v>Positivo</v>
      </c>
      <c r="Z308" t="str">
        <f t="shared" si="59"/>
        <v>Positivo</v>
      </c>
      <c r="AA308" s="1">
        <f>IF(AND(Y308="Negativo",Z308="Negativo"),0,IF(AND(B308="Ativo",OR(Y308="Positivo",Z308="Positivo")),X308*8%,0))</f>
        <v>0</v>
      </c>
    </row>
    <row r="309" spans="1:27">
      <c r="A309" s="2" t="s">
        <v>24</v>
      </c>
      <c r="B309" s="2" t="str">
        <f t="shared" si="48"/>
        <v>Ativo</v>
      </c>
      <c r="C309" s="2" t="s">
        <v>618</v>
      </c>
      <c r="D309" s="2" t="str">
        <f t="shared" si="49"/>
        <v>Bran Frey</v>
      </c>
      <c r="E309" s="2" t="s">
        <v>619</v>
      </c>
      <c r="F309" s="2" t="str">
        <f t="shared" si="50"/>
        <v>000.000.189-00</v>
      </c>
      <c r="G309" s="2">
        <v>39</v>
      </c>
      <c r="H309" s="2">
        <f ca="1">IF(G309="", DATEDIF(J309, TODAY(), "Y"), G309)</f>
        <v>39</v>
      </c>
      <c r="I309" s="6">
        <v>31968</v>
      </c>
      <c r="J309" s="6">
        <f t="shared" si="51"/>
        <v>31968</v>
      </c>
      <c r="K309" s="2" t="s">
        <v>588</v>
      </c>
      <c r="L309" s="2" t="str" cm="1">
        <f t="array" ref="L309:M309">_xlfn.TEXTSPLIT(K309,"|")</f>
        <v xml:space="preserve">Ilha dos Ursos </v>
      </c>
      <c r="M309" s="2" t="str">
        <v xml:space="preserve"> Norte</v>
      </c>
      <c r="N309" s="3">
        <v>8000</v>
      </c>
      <c r="O309" s="3">
        <f t="shared" si="52"/>
        <v>8000</v>
      </c>
      <c r="P309" s="4">
        <v>69000</v>
      </c>
      <c r="Q309" s="5">
        <f t="shared" si="53"/>
        <v>69000</v>
      </c>
      <c r="R309" s="2" t="s">
        <v>46</v>
      </c>
      <c r="S309" s="2" t="str">
        <f t="shared" si="54"/>
        <v>Não</v>
      </c>
      <c r="T309" s="2" t="str">
        <f t="shared" si="55"/>
        <v>Não</v>
      </c>
      <c r="U309" s="2">
        <v>15</v>
      </c>
      <c r="V309" s="2">
        <f t="shared" si="56"/>
        <v>15</v>
      </c>
      <c r="W309" s="2" t="str">
        <f t="shared" si="57"/>
        <v>médio</v>
      </c>
      <c r="X309" s="5">
        <v>39500</v>
      </c>
      <c r="Y309" t="str">
        <f t="shared" si="58"/>
        <v>Positivo</v>
      </c>
      <c r="Z309" t="str">
        <f t="shared" si="59"/>
        <v>Positivo</v>
      </c>
      <c r="AA309" s="1">
        <f>IF(AND(Y309="Negativo",Z309="Negativo"),0,IF(AND(B309="Ativo",OR(Y309="Positivo",Z309="Positivo")),X309*8%,0))</f>
        <v>3160</v>
      </c>
    </row>
    <row r="310" spans="1:27">
      <c r="A310" s="2" t="s">
        <v>50</v>
      </c>
      <c r="B310" s="2" t="str">
        <f t="shared" si="48"/>
        <v>Ativo</v>
      </c>
      <c r="C310" s="2" t="s">
        <v>620</v>
      </c>
      <c r="D310" s="2" t="str">
        <f t="shared" si="49"/>
        <v>Rickon Targaryen</v>
      </c>
      <c r="E310" s="2" t="s">
        <v>621</v>
      </c>
      <c r="F310" s="2" t="str">
        <f t="shared" si="50"/>
        <v>000.000.298-00</v>
      </c>
      <c r="G310" s="2">
        <v>19</v>
      </c>
      <c r="H310" s="2">
        <f ca="1">IF(G310="", DATEDIF(J310, TODAY(), "Y"), G310)</f>
        <v>19</v>
      </c>
      <c r="I310" s="6">
        <v>39003</v>
      </c>
      <c r="J310" s="6">
        <f t="shared" si="51"/>
        <v>39003</v>
      </c>
      <c r="K310" s="2" t="s">
        <v>92</v>
      </c>
      <c r="L310" s="2" t="str" cm="1">
        <f t="array" ref="L310">_xlfn.TEXTSPLIT(K310,"|")</f>
        <v>Ilha dos Ursos</v>
      </c>
      <c r="M310" s="2" t="s">
        <v>81</v>
      </c>
      <c r="N310" s="3">
        <v>4000</v>
      </c>
      <c r="O310" s="3">
        <f t="shared" si="52"/>
        <v>4000</v>
      </c>
      <c r="P310" s="4">
        <v>29500</v>
      </c>
      <c r="Q310" s="5">
        <f t="shared" si="53"/>
        <v>29500</v>
      </c>
      <c r="R310" s="2" t="s">
        <v>29</v>
      </c>
      <c r="S310" s="2" t="str">
        <f t="shared" si="54"/>
        <v>Sim</v>
      </c>
      <c r="T310" s="2" t="str">
        <f t="shared" si="55"/>
        <v>Sim</v>
      </c>
      <c r="U310" s="2">
        <v>13</v>
      </c>
      <c r="V310" s="2">
        <f t="shared" si="56"/>
        <v>13</v>
      </c>
      <c r="W310" s="2" t="str">
        <f t="shared" si="57"/>
        <v>médio</v>
      </c>
      <c r="X310" s="5">
        <v>5000</v>
      </c>
      <c r="Y310" t="str">
        <f t="shared" si="58"/>
        <v>Positivo</v>
      </c>
      <c r="Z310" t="str">
        <f t="shared" si="59"/>
        <v>Positivo</v>
      </c>
      <c r="AA310" s="1">
        <f>IF(AND(Y310="Negativo",Z310="Negativo"),0,IF(AND(B310="Ativo",OR(Y310="Positivo",Z310="Positivo")),X310*8%,0))</f>
        <v>400</v>
      </c>
    </row>
    <row r="311" spans="1:27">
      <c r="A311" s="2" t="s">
        <v>30</v>
      </c>
      <c r="B311" s="2" t="str">
        <f t="shared" si="48"/>
        <v>Inativo</v>
      </c>
      <c r="C311" s="2" t="s">
        <v>360</v>
      </c>
      <c r="D311" s="2" t="str">
        <f t="shared" si="49"/>
        <v>Jeor Marbrand</v>
      </c>
      <c r="E311" s="2" t="s">
        <v>361</v>
      </c>
      <c r="F311" s="2" t="str">
        <f t="shared" si="50"/>
        <v>000.000.073-00</v>
      </c>
      <c r="G311" s="2">
        <v>63</v>
      </c>
      <c r="H311" s="2">
        <f ca="1">IF(G311="", DATEDIF(J311, TODAY(), "Y"), G311)</f>
        <v>63</v>
      </c>
      <c r="I311" s="6">
        <v>22924</v>
      </c>
      <c r="J311" s="6">
        <f t="shared" si="51"/>
        <v>22924</v>
      </c>
      <c r="K311" s="2" t="s">
        <v>68</v>
      </c>
      <c r="L311" s="2" t="str" cm="1">
        <f t="array" ref="L311">_xlfn.TEXTSPLIT(K311,"|")</f>
        <v>Braavos</v>
      </c>
      <c r="M311" s="2" t="s">
        <v>187</v>
      </c>
      <c r="N311" s="3">
        <v>29000</v>
      </c>
      <c r="O311" s="3">
        <f t="shared" si="52"/>
        <v>29000</v>
      </c>
      <c r="P311" s="4">
        <v>36500</v>
      </c>
      <c r="Q311" s="5">
        <f t="shared" si="53"/>
        <v>36500</v>
      </c>
      <c r="R311" s="2" t="s">
        <v>46</v>
      </c>
      <c r="S311" s="2" t="str">
        <f t="shared" si="54"/>
        <v>Não</v>
      </c>
      <c r="T311" s="2" t="str">
        <f t="shared" si="55"/>
        <v>Não</v>
      </c>
      <c r="U311" s="2">
        <v>38</v>
      </c>
      <c r="V311" s="2">
        <f t="shared" si="56"/>
        <v>38</v>
      </c>
      <c r="W311" s="2" t="str">
        <f t="shared" si="57"/>
        <v>alto</v>
      </c>
      <c r="X311" s="5">
        <v>68000</v>
      </c>
      <c r="Y311" t="str">
        <f t="shared" si="58"/>
        <v>Positivo</v>
      </c>
      <c r="Z311" t="str">
        <f t="shared" si="59"/>
        <v>Positivo</v>
      </c>
      <c r="AA311" s="1">
        <f>IF(AND(Y311="Negativo",Z311="Negativo"),0,IF(AND(B311="Ativo",OR(Y311="Positivo",Z311="Positivo")),X311*8%,0))</f>
        <v>0</v>
      </c>
    </row>
    <row r="312" spans="1:27">
      <c r="A312" s="2" t="s">
        <v>24</v>
      </c>
      <c r="B312" s="2" t="str">
        <f t="shared" si="48"/>
        <v>Ativo</v>
      </c>
      <c r="C312" s="2" t="s">
        <v>622</v>
      </c>
      <c r="D312" s="2" t="str">
        <f t="shared" si="49"/>
        <v>Lyanna Westerling</v>
      </c>
      <c r="E312" s="2">
        <v>17900</v>
      </c>
      <c r="F312" s="2" t="str">
        <f t="shared" si="50"/>
        <v>000.000.179-00</v>
      </c>
      <c r="G312" s="2">
        <v>44</v>
      </c>
      <c r="H312" s="2">
        <f ca="1">IF(G312="", DATEDIF(J312, TODAY(), "Y"), G312)</f>
        <v>44</v>
      </c>
      <c r="I312" s="6">
        <v>29991</v>
      </c>
      <c r="J312" s="6">
        <f t="shared" si="51"/>
        <v>29991</v>
      </c>
      <c r="K312" s="2" t="s">
        <v>158</v>
      </c>
      <c r="L312" s="2" t="str" cm="1">
        <f t="array" ref="L312">_xlfn.TEXTSPLIT(K312,"|")</f>
        <v>Porto Real</v>
      </c>
      <c r="N312" s="3">
        <v>6700</v>
      </c>
      <c r="O312" s="3">
        <f t="shared" si="52"/>
        <v>6700</v>
      </c>
      <c r="P312" s="4">
        <v>16500</v>
      </c>
      <c r="Q312" s="5">
        <f t="shared" si="53"/>
        <v>16500</v>
      </c>
      <c r="R312" s="2" t="s">
        <v>29</v>
      </c>
      <c r="S312" s="2" t="str">
        <f t="shared" si="54"/>
        <v>Sim</v>
      </c>
      <c r="T312" s="2" t="str">
        <f t="shared" si="55"/>
        <v>Sim</v>
      </c>
      <c r="U312" s="2">
        <v>38</v>
      </c>
      <c r="V312" s="2">
        <f t="shared" si="56"/>
        <v>38</v>
      </c>
      <c r="W312" s="2" t="str">
        <f t="shared" si="57"/>
        <v>alto</v>
      </c>
      <c r="X312" s="5">
        <v>15500</v>
      </c>
      <c r="Y312" t="str">
        <f t="shared" si="58"/>
        <v>Negativo</v>
      </c>
      <c r="Z312" t="str">
        <f t="shared" si="59"/>
        <v>Positivo</v>
      </c>
      <c r="AA312" s="1">
        <f>IF(AND(Y312="Negativo",Z312="Negativo"),0,IF(AND(B312="Ativo",OR(Y312="Positivo",Z312="Positivo")),X312*8%,0))</f>
        <v>1240</v>
      </c>
    </row>
    <row r="313" spans="1:27">
      <c r="A313" s="2" t="s">
        <v>50</v>
      </c>
      <c r="B313" s="2" t="str">
        <f t="shared" si="48"/>
        <v>Ativo</v>
      </c>
      <c r="C313" s="2" t="s">
        <v>571</v>
      </c>
      <c r="D313" s="2" t="str">
        <f t="shared" si="49"/>
        <v>Jon Tarth</v>
      </c>
      <c r="E313" s="2" t="s">
        <v>623</v>
      </c>
      <c r="F313" s="2" t="str">
        <f t="shared" si="50"/>
        <v>000.000.004-00</v>
      </c>
      <c r="G313" s="2">
        <v>26</v>
      </c>
      <c r="H313" s="2">
        <f ca="1">IF(G313="", DATEDIF(J313, TODAY(), "Y"), G313)</f>
        <v>26</v>
      </c>
      <c r="I313" s="2">
        <v>36671</v>
      </c>
      <c r="J313" s="6">
        <f t="shared" si="51"/>
        <v>36671</v>
      </c>
      <c r="K313" s="2" t="s">
        <v>32</v>
      </c>
      <c r="L313" s="2" t="str" cm="1">
        <f t="array" ref="L313">_xlfn.TEXTSPLIT(K313,"|")</f>
        <v>Ponta Tempestade</v>
      </c>
      <c r="M313" s="2" t="s">
        <v>125</v>
      </c>
      <c r="N313" s="3">
        <v>25000</v>
      </c>
      <c r="O313" s="3">
        <f t="shared" si="52"/>
        <v>25000</v>
      </c>
      <c r="P313" s="4">
        <v>1000</v>
      </c>
      <c r="Q313" s="5">
        <f t="shared" si="53"/>
        <v>1000</v>
      </c>
      <c r="R313" s="2" t="s">
        <v>46</v>
      </c>
      <c r="S313" s="2" t="str">
        <f t="shared" si="54"/>
        <v>Não</v>
      </c>
      <c r="T313" s="2" t="str">
        <f t="shared" si="55"/>
        <v>Não</v>
      </c>
      <c r="U313" s="2">
        <v>16</v>
      </c>
      <c r="V313" s="2">
        <f t="shared" si="56"/>
        <v>16</v>
      </c>
      <c r="W313" s="2" t="str">
        <f t="shared" si="57"/>
        <v>médio</v>
      </c>
      <c r="X313" s="5">
        <v>10500</v>
      </c>
      <c r="Y313" t="str">
        <f t="shared" si="58"/>
        <v>Positivo</v>
      </c>
      <c r="Z313" t="str">
        <f t="shared" si="59"/>
        <v>Positivo</v>
      </c>
      <c r="AA313" s="1">
        <f>IF(AND(Y313="Negativo",Z313="Negativo"),0,IF(AND(B313="Ativo",OR(Y313="Positivo",Z313="Positivo")),X313*8%,0))</f>
        <v>840</v>
      </c>
    </row>
    <row r="314" spans="1:27">
      <c r="A314" s="2" t="s">
        <v>24</v>
      </c>
      <c r="B314" s="2" t="str">
        <f t="shared" si="48"/>
        <v>Ativo</v>
      </c>
      <c r="C314" s="2" t="s">
        <v>624</v>
      </c>
      <c r="D314" s="2" t="str">
        <f t="shared" si="49"/>
        <v>Renly Stark</v>
      </c>
      <c r="E314" s="2">
        <v>25200</v>
      </c>
      <c r="F314" s="2" t="str">
        <f t="shared" si="50"/>
        <v>000.000.252-00</v>
      </c>
      <c r="G314" s="2">
        <v>44</v>
      </c>
      <c r="H314" s="2">
        <f ca="1">IF(G314="", DATEDIF(J314, TODAY(), "Y"), G314)</f>
        <v>44</v>
      </c>
      <c r="I314" s="6">
        <v>30081</v>
      </c>
      <c r="J314" s="6">
        <f t="shared" si="51"/>
        <v>30081</v>
      </c>
      <c r="K314" s="2" t="s">
        <v>68</v>
      </c>
      <c r="L314" s="2" t="str" cm="1">
        <f t="array" ref="L314">_xlfn.TEXTSPLIT(K314,"|")</f>
        <v>Braavos</v>
      </c>
      <c r="M314" s="2" t="s">
        <v>64</v>
      </c>
      <c r="N314" s="3">
        <v>9600</v>
      </c>
      <c r="O314" s="3">
        <f t="shared" si="52"/>
        <v>9600</v>
      </c>
      <c r="P314" s="4">
        <v>66000</v>
      </c>
      <c r="Q314" s="5">
        <f t="shared" si="53"/>
        <v>66000</v>
      </c>
      <c r="S314" s="2" t="str">
        <f t="shared" si="54"/>
        <v/>
      </c>
      <c r="T314" s="2" t="str">
        <f t="shared" si="55"/>
        <v>Não</v>
      </c>
      <c r="U314" s="2">
        <v>11</v>
      </c>
      <c r="V314" s="2">
        <f t="shared" si="56"/>
        <v>11</v>
      </c>
      <c r="W314" s="2" t="str">
        <f t="shared" si="57"/>
        <v>médio</v>
      </c>
      <c r="X314" s="5">
        <v>4500</v>
      </c>
      <c r="Y314" t="str">
        <f t="shared" si="58"/>
        <v>Positivo</v>
      </c>
      <c r="Z314" t="str">
        <f t="shared" si="59"/>
        <v>Positivo</v>
      </c>
      <c r="AA314" s="1">
        <f>IF(AND(Y314="Negativo",Z314="Negativo"),0,IF(AND(B314="Ativo",OR(Y314="Positivo",Z314="Positivo")),X314*8%,0))</f>
        <v>360</v>
      </c>
    </row>
    <row r="315" spans="1:27">
      <c r="A315" s="2" t="s">
        <v>24</v>
      </c>
      <c r="B315" s="2" t="str">
        <f t="shared" si="48"/>
        <v>Ativo</v>
      </c>
      <c r="C315" s="2" t="s">
        <v>625</v>
      </c>
      <c r="D315" s="2" t="str">
        <f t="shared" si="49"/>
        <v>Olenna Hornwood</v>
      </c>
      <c r="E315" s="2">
        <v>29900</v>
      </c>
      <c r="F315" s="2" t="str">
        <f t="shared" si="50"/>
        <v>000.000.299-00</v>
      </c>
      <c r="G315" s="2">
        <v>46</v>
      </c>
      <c r="H315" s="2">
        <f ca="1">IF(G315="", DATEDIF(J315, TODAY(), "Y"), G315)</f>
        <v>46</v>
      </c>
      <c r="J315" s="6">
        <f t="shared" si="51"/>
        <v>0</v>
      </c>
      <c r="K315" s="2" t="s">
        <v>80</v>
      </c>
      <c r="L315" s="2" t="str" cm="1">
        <f t="array" ref="L315">_xlfn.TEXTSPLIT(K315,"|")</f>
        <v>Castelo Negro</v>
      </c>
      <c r="M315" s="2" t="s">
        <v>81</v>
      </c>
      <c r="N315" s="3">
        <v>21300</v>
      </c>
      <c r="O315" s="3">
        <f t="shared" si="52"/>
        <v>21300</v>
      </c>
      <c r="P315" s="4">
        <v>60500</v>
      </c>
      <c r="Q315" s="5">
        <f t="shared" si="53"/>
        <v>60500</v>
      </c>
      <c r="S315" s="2" t="str">
        <f t="shared" si="54"/>
        <v/>
      </c>
      <c r="T315" s="2" t="str">
        <f t="shared" si="55"/>
        <v>Não</v>
      </c>
      <c r="U315" s="2">
        <v>15</v>
      </c>
      <c r="V315" s="2">
        <f t="shared" si="56"/>
        <v>15</v>
      </c>
      <c r="W315" s="2" t="str">
        <f t="shared" si="57"/>
        <v>médio</v>
      </c>
      <c r="X315" s="5">
        <v>74500</v>
      </c>
      <c r="Y315" t="str">
        <f t="shared" si="58"/>
        <v>Positivo</v>
      </c>
      <c r="Z315" t="str">
        <f t="shared" si="59"/>
        <v>Positivo</v>
      </c>
      <c r="AA315" s="1">
        <f>IF(AND(Y315="Negativo",Z315="Negativo"),0,IF(AND(B315="Ativo",OR(Y315="Positivo",Z315="Positivo")),X315*8%,0))</f>
        <v>5960</v>
      </c>
    </row>
    <row r="316" spans="1:27">
      <c r="A316" s="2" t="s">
        <v>24</v>
      </c>
      <c r="B316" s="2" t="str">
        <f t="shared" si="48"/>
        <v>Ativo</v>
      </c>
      <c r="C316" s="2" t="s">
        <v>626</v>
      </c>
      <c r="D316" s="2" t="str">
        <f t="shared" si="49"/>
        <v>Aegon Blackwood</v>
      </c>
      <c r="E316" s="2" t="s">
        <v>627</v>
      </c>
      <c r="F316" s="2" t="str">
        <f t="shared" si="50"/>
        <v>000.000.118-00</v>
      </c>
      <c r="G316" s="2">
        <v>69</v>
      </c>
      <c r="H316" s="2">
        <f ca="1">IF(G316="", DATEDIF(J316, TODAY(), "Y"), G316)</f>
        <v>69</v>
      </c>
      <c r="I316" s="2">
        <v>21054</v>
      </c>
      <c r="J316" s="6">
        <f t="shared" si="51"/>
        <v>21054</v>
      </c>
      <c r="K316" s="2" t="s">
        <v>110</v>
      </c>
      <c r="L316" s="2" t="str" cm="1">
        <f t="array" ref="L316">_xlfn.TEXTSPLIT(K316,"|")</f>
        <v>Jardim de Cima</v>
      </c>
      <c r="M316" s="2" t="s">
        <v>87</v>
      </c>
      <c r="N316" s="3">
        <v>23800</v>
      </c>
      <c r="O316" s="3">
        <f t="shared" si="52"/>
        <v>23800</v>
      </c>
      <c r="P316" s="4" t="s">
        <v>38</v>
      </c>
      <c r="Q316" s="5" t="str">
        <f t="shared" si="53"/>
        <v>N/A</v>
      </c>
      <c r="S316" s="2" t="str">
        <f t="shared" si="54"/>
        <v/>
      </c>
      <c r="T316" s="2" t="str">
        <f t="shared" si="55"/>
        <v>Não</v>
      </c>
      <c r="U316" s="2">
        <v>26</v>
      </c>
      <c r="V316" s="2">
        <f t="shared" si="56"/>
        <v>26</v>
      </c>
      <c r="W316" s="2" t="str">
        <f t="shared" si="57"/>
        <v>alto</v>
      </c>
      <c r="X316" s="5">
        <v>89000</v>
      </c>
      <c r="Y316" t="str">
        <f t="shared" si="58"/>
        <v>Positivo</v>
      </c>
      <c r="Z316" t="str">
        <f t="shared" si="59"/>
        <v>Negativo</v>
      </c>
      <c r="AA316" s="1">
        <f>IF(AND(Y316="Negativo",Z316="Negativo"),0,IF(AND(B316="Ativo",OR(Y316="Positivo",Z316="Positivo")),X316*8%,0))</f>
        <v>7120</v>
      </c>
    </row>
    <row r="317" spans="1:27">
      <c r="A317" s="2" t="s">
        <v>24</v>
      </c>
      <c r="B317" s="2" t="str">
        <f t="shared" si="48"/>
        <v>Ativo</v>
      </c>
      <c r="C317" s="2" t="s">
        <v>628</v>
      </c>
      <c r="D317" s="2" t="str">
        <f t="shared" si="49"/>
        <v>Brienne Glover</v>
      </c>
      <c r="E317" s="2" t="s">
        <v>629</v>
      </c>
      <c r="F317" s="2" t="str">
        <f t="shared" si="50"/>
        <v>000.000.355-00</v>
      </c>
      <c r="G317" s="2">
        <v>67</v>
      </c>
      <c r="H317" s="2">
        <f ca="1">IF(G317="", DATEDIF(J317, TODAY(), "Y"), G317)</f>
        <v>67</v>
      </c>
      <c r="I317" s="2">
        <v>21522</v>
      </c>
      <c r="J317" s="6">
        <f t="shared" si="51"/>
        <v>21522</v>
      </c>
      <c r="K317" s="2" t="s">
        <v>229</v>
      </c>
      <c r="L317" s="2" t="str" cm="1">
        <f t="array" ref="L317">_xlfn.TEXTSPLIT(K317,"|")</f>
        <v>Solar do Entardecer</v>
      </c>
      <c r="M317" s="2" t="s">
        <v>230</v>
      </c>
      <c r="N317" s="3">
        <v>11300</v>
      </c>
      <c r="O317" s="3">
        <f t="shared" si="52"/>
        <v>11300</v>
      </c>
      <c r="P317" s="4">
        <v>49500</v>
      </c>
      <c r="Q317" s="5">
        <f t="shared" si="53"/>
        <v>49500</v>
      </c>
      <c r="R317" s="2" t="s">
        <v>46</v>
      </c>
      <c r="S317" s="2" t="str">
        <f t="shared" si="54"/>
        <v>Não</v>
      </c>
      <c r="T317" s="2" t="str">
        <f t="shared" si="55"/>
        <v>Não</v>
      </c>
      <c r="U317" s="2">
        <v>12</v>
      </c>
      <c r="V317" s="2">
        <f t="shared" si="56"/>
        <v>12</v>
      </c>
      <c r="W317" s="2" t="str">
        <f t="shared" si="57"/>
        <v>médio</v>
      </c>
      <c r="X317" s="5">
        <v>34500</v>
      </c>
      <c r="Y317" t="str">
        <f t="shared" si="58"/>
        <v>Positivo</v>
      </c>
      <c r="Z317" t="str">
        <f t="shared" si="59"/>
        <v>Positivo</v>
      </c>
      <c r="AA317" s="1">
        <f>IF(AND(Y317="Negativo",Z317="Negativo"),0,IF(AND(B317="Ativo",OR(Y317="Positivo",Z317="Positivo")),X317*8%,0))</f>
        <v>2760</v>
      </c>
    </row>
    <row r="318" spans="1:27">
      <c r="A318" s="2" t="s">
        <v>24</v>
      </c>
      <c r="B318" s="2" t="str">
        <f t="shared" si="48"/>
        <v>Ativo</v>
      </c>
      <c r="C318" s="2" t="s">
        <v>630</v>
      </c>
      <c r="D318" s="2" t="str">
        <f t="shared" si="49"/>
        <v>Ellaria Cerwyn</v>
      </c>
      <c r="E318" s="2" t="s">
        <v>631</v>
      </c>
      <c r="F318" s="2" t="str">
        <f t="shared" si="50"/>
        <v>000.000.019-00</v>
      </c>
      <c r="G318" s="2">
        <v>51</v>
      </c>
      <c r="H318" s="2">
        <f ca="1">IF(G318="", DATEDIF(J318, TODAY(), "Y"), G318)</f>
        <v>51</v>
      </c>
      <c r="I318" s="6">
        <v>27378</v>
      </c>
      <c r="J318" s="6">
        <f t="shared" si="51"/>
        <v>27378</v>
      </c>
      <c r="K318" s="2" t="s">
        <v>121</v>
      </c>
      <c r="L318" s="2" t="str" cm="1">
        <f t="array" ref="L318">_xlfn.TEXTSPLIT(K318,"|")</f>
        <v>Dorne</v>
      </c>
      <c r="M318" s="2" t="s">
        <v>121</v>
      </c>
      <c r="N318" s="3">
        <v>11600</v>
      </c>
      <c r="O318" s="3">
        <f t="shared" si="52"/>
        <v>11600</v>
      </c>
      <c r="P318" s="4">
        <v>41000</v>
      </c>
      <c r="Q318" s="5">
        <f t="shared" si="53"/>
        <v>41000</v>
      </c>
      <c r="R318" s="2" t="s">
        <v>46</v>
      </c>
      <c r="S318" s="2" t="str">
        <f t="shared" si="54"/>
        <v>Não</v>
      </c>
      <c r="T318" s="2" t="str">
        <f t="shared" si="55"/>
        <v>Não</v>
      </c>
      <c r="U318" s="2">
        <v>7</v>
      </c>
      <c r="V318" s="2">
        <f t="shared" si="56"/>
        <v>7</v>
      </c>
      <c r="W318" s="2" t="str">
        <f t="shared" si="57"/>
        <v>baixo</v>
      </c>
      <c r="X318" s="5">
        <v>67000</v>
      </c>
      <c r="Y318" t="str">
        <f t="shared" si="58"/>
        <v>Positivo</v>
      </c>
      <c r="Z318" t="str">
        <f t="shared" si="59"/>
        <v>Positivo</v>
      </c>
      <c r="AA318" s="1">
        <f>IF(AND(Y318="Negativo",Z318="Negativo"),0,IF(AND(B318="Ativo",OR(Y318="Positivo",Z318="Positivo")),X318*8%,0))</f>
        <v>5360</v>
      </c>
    </row>
    <row r="319" spans="1:27">
      <c r="A319" s="2" t="s">
        <v>24</v>
      </c>
      <c r="B319" s="2" t="str">
        <f t="shared" si="48"/>
        <v>Ativo</v>
      </c>
      <c r="C319" s="2" t="s">
        <v>632</v>
      </c>
      <c r="D319" s="2" t="str">
        <f t="shared" si="49"/>
        <v>Loras Lannister</v>
      </c>
      <c r="E319" s="2" t="s">
        <v>633</v>
      </c>
      <c r="F319" s="2" t="str">
        <f t="shared" si="50"/>
        <v>000.000.302-00</v>
      </c>
      <c r="G319" s="2">
        <v>49</v>
      </c>
      <c r="H319" s="2">
        <f ca="1">IF(G319="", DATEDIF(J319, TODAY(), "Y"), G319)</f>
        <v>49</v>
      </c>
      <c r="I319" s="6">
        <v>28067</v>
      </c>
      <c r="J319" s="6">
        <f t="shared" si="51"/>
        <v>28067</v>
      </c>
      <c r="K319" s="2" t="s">
        <v>56</v>
      </c>
      <c r="L319" s="2" t="str" cm="1">
        <f t="array" ref="L319">_xlfn.TEXTSPLIT(K319,"|")</f>
        <v>Pyke</v>
      </c>
      <c r="M319" s="2" t="s">
        <v>72</v>
      </c>
      <c r="N319" s="3">
        <v>29800</v>
      </c>
      <c r="O319" s="3">
        <f t="shared" si="52"/>
        <v>29800</v>
      </c>
      <c r="P319" s="4">
        <v>54500</v>
      </c>
      <c r="Q319" s="5">
        <f t="shared" si="53"/>
        <v>54500</v>
      </c>
      <c r="R319" s="2" t="s">
        <v>46</v>
      </c>
      <c r="S319" s="2" t="str">
        <f t="shared" si="54"/>
        <v>Não</v>
      </c>
      <c r="T319" s="2" t="str">
        <f t="shared" si="55"/>
        <v>Não</v>
      </c>
      <c r="U319" s="2">
        <v>34</v>
      </c>
      <c r="V319" s="2">
        <f t="shared" si="56"/>
        <v>34</v>
      </c>
      <c r="W319" s="2" t="str">
        <f t="shared" si="57"/>
        <v>alto</v>
      </c>
      <c r="X319" s="5">
        <v>72000</v>
      </c>
      <c r="Y319" t="str">
        <f t="shared" si="58"/>
        <v>Positivo</v>
      </c>
      <c r="Z319" t="str">
        <f t="shared" si="59"/>
        <v>Positivo</v>
      </c>
      <c r="AA319" s="1">
        <f>IF(AND(Y319="Negativo",Z319="Negativo"),0,IF(AND(B319="Ativo",OR(Y319="Positivo",Z319="Positivo")),X319*8%,0))</f>
        <v>5760</v>
      </c>
    </row>
    <row r="320" spans="1:27">
      <c r="A320" s="2" t="s">
        <v>24</v>
      </c>
      <c r="B320" s="2" t="str">
        <f t="shared" si="48"/>
        <v>Ativo</v>
      </c>
      <c r="C320" s="2" t="s">
        <v>337</v>
      </c>
      <c r="D320" s="2" t="str">
        <f t="shared" si="49"/>
        <v>Beric Tyrell</v>
      </c>
      <c r="E320" s="2" t="s">
        <v>634</v>
      </c>
      <c r="F320" s="2" t="str">
        <f t="shared" si="50"/>
        <v>000.000.103-00</v>
      </c>
      <c r="G320" s="2">
        <v>20</v>
      </c>
      <c r="H320" s="2">
        <f ca="1">IF(G320="", DATEDIF(J320, TODAY(), "Y"), G320)</f>
        <v>20</v>
      </c>
      <c r="I320" s="6">
        <v>38957</v>
      </c>
      <c r="J320" s="6">
        <f t="shared" si="51"/>
        <v>38957</v>
      </c>
      <c r="K320" s="2" t="s">
        <v>100</v>
      </c>
      <c r="L320" s="2" t="str" cm="1">
        <f t="array" ref="L320">_xlfn.TEXTSPLIT(K320,"|")</f>
        <v>Fosso Cailin</v>
      </c>
      <c r="M320" s="2" t="s">
        <v>81</v>
      </c>
      <c r="N320" s="3">
        <v>18200</v>
      </c>
      <c r="O320" s="3">
        <f t="shared" si="52"/>
        <v>18200</v>
      </c>
      <c r="Q320" s="5">
        <f t="shared" si="53"/>
        <v>0</v>
      </c>
      <c r="R320" s="2" t="s">
        <v>46</v>
      </c>
      <c r="S320" s="2" t="str">
        <f t="shared" si="54"/>
        <v>Não</v>
      </c>
      <c r="T320" s="2" t="str">
        <f t="shared" si="55"/>
        <v>Não</v>
      </c>
      <c r="U320" s="2">
        <v>21</v>
      </c>
      <c r="V320" s="2">
        <f t="shared" si="56"/>
        <v>21</v>
      </c>
      <c r="W320" s="2" t="str">
        <f t="shared" si="57"/>
        <v>médio</v>
      </c>
      <c r="X320" s="5">
        <v>61500</v>
      </c>
      <c r="Y320" t="str">
        <f t="shared" si="58"/>
        <v>Positivo</v>
      </c>
      <c r="Z320" t="str">
        <f t="shared" si="59"/>
        <v>Positivo</v>
      </c>
      <c r="AA320" s="1">
        <f>IF(AND(Y320="Negativo",Z320="Negativo"),0,IF(AND(B320="Ativo",OR(Y320="Positivo",Z320="Positivo")),X320*8%,0))</f>
        <v>4920</v>
      </c>
    </row>
    <row r="321" spans="1:27">
      <c r="A321" s="2" t="s">
        <v>24</v>
      </c>
      <c r="B321" s="2" t="str">
        <f t="shared" si="48"/>
        <v>Ativo</v>
      </c>
      <c r="C321" s="2" t="s">
        <v>513</v>
      </c>
      <c r="D321" s="2" t="str">
        <f t="shared" si="49"/>
        <v>Thoros Crakehall</v>
      </c>
      <c r="E321" s="2">
        <v>19300</v>
      </c>
      <c r="F321" s="2" t="str">
        <f t="shared" si="50"/>
        <v>000.000.193-00</v>
      </c>
      <c r="G321" s="2">
        <v>74</v>
      </c>
      <c r="H321" s="2">
        <f ca="1">IF(G321="", DATEDIF(J321, TODAY(), "Y"), G321)</f>
        <v>74</v>
      </c>
      <c r="I321" s="6">
        <v>19131</v>
      </c>
      <c r="J321" s="6">
        <f t="shared" si="51"/>
        <v>19131</v>
      </c>
      <c r="K321" s="2" t="s">
        <v>158</v>
      </c>
      <c r="L321" s="2" t="str" cm="1">
        <f t="array" ref="L321">_xlfn.TEXTSPLIT(K321,"|")</f>
        <v>Porto Real</v>
      </c>
      <c r="M321" s="2" t="s">
        <v>253</v>
      </c>
      <c r="N321" s="3">
        <v>20700</v>
      </c>
      <c r="O321" s="3">
        <f t="shared" si="52"/>
        <v>20700</v>
      </c>
      <c r="P321" s="4">
        <v>17500</v>
      </c>
      <c r="Q321" s="5">
        <f t="shared" si="53"/>
        <v>17500</v>
      </c>
      <c r="R321" s="2" t="s">
        <v>46</v>
      </c>
      <c r="S321" s="2" t="str">
        <f t="shared" si="54"/>
        <v>Não</v>
      </c>
      <c r="T321" s="2" t="str">
        <f t="shared" si="55"/>
        <v>Não</v>
      </c>
      <c r="U321" s="2">
        <v>35</v>
      </c>
      <c r="V321" s="2">
        <f t="shared" si="56"/>
        <v>35</v>
      </c>
      <c r="W321" s="2" t="str">
        <f t="shared" si="57"/>
        <v>alto</v>
      </c>
      <c r="X321" s="5">
        <v>68500</v>
      </c>
      <c r="Y321" t="str">
        <f t="shared" si="58"/>
        <v>Positivo</v>
      </c>
      <c r="Z321" t="str">
        <f t="shared" si="59"/>
        <v>Positivo</v>
      </c>
      <c r="AA321" s="1">
        <f>IF(AND(Y321="Negativo",Z321="Negativo"),0,IF(AND(B321="Ativo",OR(Y321="Positivo",Z321="Positivo")),X321*8%,0))</f>
        <v>5480</v>
      </c>
    </row>
    <row r="322" spans="1:27">
      <c r="A322" s="2" t="s">
        <v>30</v>
      </c>
      <c r="B322" s="2" t="str">
        <f t="shared" si="48"/>
        <v>Inativo</v>
      </c>
      <c r="C322" s="2" t="s">
        <v>496</v>
      </c>
      <c r="D322" s="2" t="str">
        <f t="shared" si="49"/>
        <v>Yara Tallhart</v>
      </c>
      <c r="E322" s="2">
        <v>6400</v>
      </c>
      <c r="F322" s="2" t="str">
        <f t="shared" si="50"/>
        <v>000.000.064-00</v>
      </c>
      <c r="G322" s="2">
        <v>57</v>
      </c>
      <c r="H322" s="2">
        <f ca="1">IF(G322="", DATEDIF(J322, TODAY(), "Y"), G322)</f>
        <v>57</v>
      </c>
      <c r="I322" s="2">
        <v>25206</v>
      </c>
      <c r="J322" s="6">
        <f t="shared" si="51"/>
        <v>25206</v>
      </c>
      <c r="K322" s="2" t="s">
        <v>77</v>
      </c>
      <c r="L322" s="2" t="str" cm="1">
        <f t="array" ref="L322">_xlfn.TEXTSPLIT(K322,"|")</f>
        <v>Correrrio</v>
      </c>
      <c r="M322" s="2" t="s">
        <v>273</v>
      </c>
      <c r="N322" s="3">
        <v>3400</v>
      </c>
      <c r="O322" s="3">
        <f t="shared" si="52"/>
        <v>3400</v>
      </c>
      <c r="P322" s="4">
        <v>23500</v>
      </c>
      <c r="Q322" s="5">
        <f t="shared" si="53"/>
        <v>23500</v>
      </c>
      <c r="R322" s="2" t="s">
        <v>46</v>
      </c>
      <c r="S322" s="2" t="str">
        <f t="shared" si="54"/>
        <v>Não</v>
      </c>
      <c r="T322" s="2" t="str">
        <f t="shared" si="55"/>
        <v>Não</v>
      </c>
      <c r="U322" s="2">
        <v>20</v>
      </c>
      <c r="V322" s="2">
        <f t="shared" si="56"/>
        <v>20</v>
      </c>
      <c r="W322" s="2" t="str">
        <f t="shared" si="57"/>
        <v>médio</v>
      </c>
      <c r="X322" s="5">
        <v>50500</v>
      </c>
      <c r="Y322" t="str">
        <f t="shared" si="58"/>
        <v>Positivo</v>
      </c>
      <c r="Z322" t="str">
        <f t="shared" si="59"/>
        <v>Positivo</v>
      </c>
      <c r="AA322" s="1">
        <f>IF(AND(Y322="Negativo",Z322="Negativo"),0,IF(AND(B322="Ativo",OR(Y322="Positivo",Z322="Positivo")),X322*8%,0))</f>
        <v>0</v>
      </c>
    </row>
    <row r="323" spans="1:27">
      <c r="A323" s="2" t="s">
        <v>24</v>
      </c>
      <c r="B323" s="2" t="str">
        <f t="shared" ref="B323:B369" si="60">IF(LEFT(A323,5)="Ativo", "Ativo", "Inativo")</f>
        <v>Ativo</v>
      </c>
      <c r="C323" s="2" t="s">
        <v>318</v>
      </c>
      <c r="D323" s="2" t="str">
        <f t="shared" ref="D323:D369" si="61">PROPER(C323)</f>
        <v>Missandei Florent</v>
      </c>
      <c r="E323" s="2" t="s">
        <v>319</v>
      </c>
      <c r="F323" s="2" t="str">
        <f t="shared" ref="F323:F369" si="62">TEXT(_xlfn.NUMBERVALUE(SUBSTITUTE(SUBSTITUTE(E323,".",""),"-","")), "000\.000\.000\-00")</f>
        <v>000.000.282-00</v>
      </c>
      <c r="G323" s="2">
        <v>56</v>
      </c>
      <c r="H323" s="2">
        <f ca="1">IF(G323="", DATEDIF(J323, TODAY(), "Y"), G323)</f>
        <v>56</v>
      </c>
      <c r="I323" s="2">
        <v>25671</v>
      </c>
      <c r="J323" s="6">
        <f t="shared" ref="J323:J369" si="63">I323</f>
        <v>25671</v>
      </c>
      <c r="K323" s="2" t="s">
        <v>106</v>
      </c>
      <c r="L323" s="2" t="str" cm="1">
        <f t="array" ref="L323">_xlfn.TEXTSPLIT(K323,"|")</f>
        <v>Harrenhal</v>
      </c>
      <c r="M323" s="2" t="s">
        <v>78</v>
      </c>
      <c r="N323" s="3">
        <v>28300</v>
      </c>
      <c r="O323" s="3">
        <f t="shared" ref="O323:O369" si="64">IF(OR(N323="", N323="sem renda"), "", N323)</f>
        <v>28300</v>
      </c>
      <c r="P323" s="4">
        <v>56000</v>
      </c>
      <c r="Q323" s="5">
        <f t="shared" ref="Q323:Q369" si="65">P323</f>
        <v>56000</v>
      </c>
      <c r="R323" s="2" t="s">
        <v>46</v>
      </c>
      <c r="S323" s="2" t="str">
        <f t="shared" ref="S323:S369" si="66">IF(R323="", "", IF(R323=0, "não", IF(R323=1, "sim", R323)))</f>
        <v>Não</v>
      </c>
      <c r="T323" s="2" t="str">
        <f t="shared" ref="T323:T369" si="67">IF(LEFT(UPPER(S323),1)="S", "Sim", "Não")</f>
        <v>Não</v>
      </c>
      <c r="U323" s="2">
        <v>6</v>
      </c>
      <c r="V323" s="2">
        <f t="shared" ref="V323:V369" si="68">IF(U323="", 0, U323)</f>
        <v>6</v>
      </c>
      <c r="W323" s="2" t="str">
        <f t="shared" ref="W323:W369" si="69">IF(U323&lt;=10, "baixo", IF(U323&lt;=25, "médio", "alto"))</f>
        <v>baixo</v>
      </c>
      <c r="X323" s="5">
        <v>84500</v>
      </c>
      <c r="Y323" t="str">
        <f t="shared" ref="Y323:Y369" si="70">IF(AND(W323="alto", S323="Sim"), "Negativo", "Positivo")</f>
        <v>Positivo</v>
      </c>
      <c r="Z323" t="str">
        <f t="shared" ref="Z323:Z369" si="71">IF(OR(Q323="N/A", AND(Q323&gt;50000, S323="Sim")), "Negativo", "Positivo")</f>
        <v>Positivo</v>
      </c>
      <c r="AA323" s="1">
        <f>IF(AND(Y323="Negativo",Z323="Negativo"),0,IF(AND(B323="Ativo",OR(Y323="Positivo",Z323="Positivo")),X323*8%,0))</f>
        <v>6760</v>
      </c>
    </row>
    <row r="324" spans="1:27">
      <c r="A324" s="2" t="s">
        <v>24</v>
      </c>
      <c r="B324" s="2" t="str">
        <f t="shared" si="60"/>
        <v>Ativo</v>
      </c>
      <c r="C324" s="2" t="s">
        <v>635</v>
      </c>
      <c r="D324" s="2" t="str">
        <f t="shared" si="61"/>
        <v>Catelyn  Dayne</v>
      </c>
      <c r="E324" s="2" t="s">
        <v>636</v>
      </c>
      <c r="F324" s="2" t="str">
        <f t="shared" si="62"/>
        <v>000.000.213-00</v>
      </c>
      <c r="G324" s="2">
        <v>68</v>
      </c>
      <c r="H324" s="2">
        <f ca="1">IF(G324="", DATEDIF(J324, TODAY(), "Y"), G324)</f>
        <v>68</v>
      </c>
      <c r="I324" s="6">
        <v>21145</v>
      </c>
      <c r="J324" s="6">
        <f t="shared" si="63"/>
        <v>21145</v>
      </c>
      <c r="K324" s="2" t="s">
        <v>32</v>
      </c>
      <c r="L324" s="2" t="str" cm="1">
        <f t="array" ref="L324">_xlfn.TEXTSPLIT(K324,"|")</f>
        <v>Ponta Tempestade</v>
      </c>
      <c r="M324" s="2" t="s">
        <v>33</v>
      </c>
      <c r="N324" s="3">
        <v>24500</v>
      </c>
      <c r="O324" s="3">
        <f t="shared" si="64"/>
        <v>24500</v>
      </c>
      <c r="P324" s="4">
        <v>16500</v>
      </c>
      <c r="Q324" s="5">
        <f t="shared" si="65"/>
        <v>16500</v>
      </c>
      <c r="R324" s="2" t="s">
        <v>46</v>
      </c>
      <c r="S324" s="2" t="str">
        <f t="shared" si="66"/>
        <v>Não</v>
      </c>
      <c r="T324" s="2" t="str">
        <f t="shared" si="67"/>
        <v>Não</v>
      </c>
      <c r="U324" s="2">
        <v>22</v>
      </c>
      <c r="V324" s="2">
        <f t="shared" si="68"/>
        <v>22</v>
      </c>
      <c r="W324" s="2" t="str">
        <f t="shared" si="69"/>
        <v>médio</v>
      </c>
      <c r="X324" s="5">
        <v>34500</v>
      </c>
      <c r="Y324" t="str">
        <f t="shared" si="70"/>
        <v>Positivo</v>
      </c>
      <c r="Z324" t="str">
        <f t="shared" si="71"/>
        <v>Positivo</v>
      </c>
      <c r="AA324" s="1">
        <f>IF(AND(Y324="Negativo",Z324="Negativo"),0,IF(AND(B324="Ativo",OR(Y324="Positivo",Z324="Positivo")),X324*8%,0))</f>
        <v>2760</v>
      </c>
    </row>
    <row r="325" spans="1:27">
      <c r="A325" s="2" t="s">
        <v>30</v>
      </c>
      <c r="B325" s="2" t="str">
        <f t="shared" si="60"/>
        <v>Inativo</v>
      </c>
      <c r="C325" s="2" t="s">
        <v>637</v>
      </c>
      <c r="D325" s="2" t="str">
        <f t="shared" si="61"/>
        <v>Lyanna Tarth</v>
      </c>
      <c r="E325" s="2" t="s">
        <v>638</v>
      </c>
      <c r="F325" s="2" t="str">
        <f t="shared" si="62"/>
        <v>000.000.345-00</v>
      </c>
      <c r="G325" s="2">
        <v>73</v>
      </c>
      <c r="H325" s="2">
        <f ca="1">IF(G325="", DATEDIF(J325, TODAY(), "Y"), G325)</f>
        <v>73</v>
      </c>
      <c r="J325" s="6">
        <f t="shared" si="63"/>
        <v>0</v>
      </c>
      <c r="K325" s="2" t="s">
        <v>80</v>
      </c>
      <c r="L325" s="2" t="str" cm="1">
        <f t="array" ref="L325">_xlfn.TEXTSPLIT(K325,"|")</f>
        <v>Castelo Negro</v>
      </c>
      <c r="M325" s="2" t="s">
        <v>81</v>
      </c>
      <c r="N325" s="3">
        <v>19900</v>
      </c>
      <c r="O325" s="3">
        <f t="shared" si="64"/>
        <v>19900</v>
      </c>
      <c r="P325" s="4">
        <v>47000</v>
      </c>
      <c r="Q325" s="5">
        <f t="shared" si="65"/>
        <v>47000</v>
      </c>
      <c r="R325" s="2" t="s">
        <v>46</v>
      </c>
      <c r="S325" s="2" t="str">
        <f t="shared" si="66"/>
        <v>Não</v>
      </c>
      <c r="T325" s="2" t="str">
        <f t="shared" si="67"/>
        <v>Não</v>
      </c>
      <c r="U325" s="2">
        <v>19</v>
      </c>
      <c r="V325" s="2">
        <f t="shared" si="68"/>
        <v>19</v>
      </c>
      <c r="W325" s="2" t="str">
        <f t="shared" si="69"/>
        <v>médio</v>
      </c>
      <c r="X325" s="5">
        <v>20500</v>
      </c>
      <c r="Y325" t="str">
        <f t="shared" si="70"/>
        <v>Positivo</v>
      </c>
      <c r="Z325" t="str">
        <f t="shared" si="71"/>
        <v>Positivo</v>
      </c>
      <c r="AA325" s="1">
        <f>IF(AND(Y325="Negativo",Z325="Negativo"),0,IF(AND(B325="Ativo",OR(Y325="Positivo",Z325="Positivo")),X325*8%,0))</f>
        <v>0</v>
      </c>
    </row>
    <row r="326" spans="1:27">
      <c r="A326" s="2" t="s">
        <v>24</v>
      </c>
      <c r="B326" s="2" t="str">
        <f t="shared" si="60"/>
        <v>Ativo</v>
      </c>
      <c r="C326" s="2" t="s">
        <v>639</v>
      </c>
      <c r="D326" s="2" t="str">
        <f t="shared" si="61"/>
        <v>Varys Lannister</v>
      </c>
      <c r="E326" s="2" t="s">
        <v>640</v>
      </c>
      <c r="F326" s="2" t="str">
        <f t="shared" si="62"/>
        <v>000.000.367-00</v>
      </c>
      <c r="G326" s="2">
        <v>67</v>
      </c>
      <c r="H326" s="2">
        <f ca="1">IF(G326="", DATEDIF(J326, TODAY(), "Y"), G326)</f>
        <v>67</v>
      </c>
      <c r="I326" s="6">
        <v>21497</v>
      </c>
      <c r="J326" s="6">
        <f t="shared" si="63"/>
        <v>21497</v>
      </c>
      <c r="K326" s="2" t="s">
        <v>42</v>
      </c>
      <c r="L326" s="2" t="str" cm="1">
        <f t="array" ref="L326:M326">_xlfn.TEXTSPLIT(K326,"|")</f>
        <v xml:space="preserve">Pyke </v>
      </c>
      <c r="M326" s="2" t="str">
        <v xml:space="preserve"> Ilhas de Ferro</v>
      </c>
      <c r="N326" s="3">
        <v>21600</v>
      </c>
      <c r="O326" s="3">
        <f t="shared" si="64"/>
        <v>21600</v>
      </c>
      <c r="P326" s="4">
        <v>73500</v>
      </c>
      <c r="Q326" s="5">
        <f t="shared" si="65"/>
        <v>73500</v>
      </c>
      <c r="R326" s="2" t="s">
        <v>29</v>
      </c>
      <c r="S326" s="2" t="str">
        <f t="shared" si="66"/>
        <v>Sim</v>
      </c>
      <c r="T326" s="2" t="str">
        <f t="shared" si="67"/>
        <v>Sim</v>
      </c>
      <c r="U326" s="2">
        <v>7</v>
      </c>
      <c r="V326" s="2">
        <f t="shared" si="68"/>
        <v>7</v>
      </c>
      <c r="W326" s="2" t="str">
        <f t="shared" si="69"/>
        <v>baixo</v>
      </c>
      <c r="X326" s="5">
        <v>24500</v>
      </c>
      <c r="Y326" t="str">
        <f t="shared" si="70"/>
        <v>Positivo</v>
      </c>
      <c r="Z326" t="str">
        <f t="shared" si="71"/>
        <v>Negativo</v>
      </c>
      <c r="AA326" s="1">
        <f>IF(AND(Y326="Negativo",Z326="Negativo"),0,IF(AND(B326="Ativo",OR(Y326="Positivo",Z326="Positivo")),X326*8%,0))</f>
        <v>1960</v>
      </c>
    </row>
    <row r="327" spans="1:27">
      <c r="A327" s="2" t="s">
        <v>24</v>
      </c>
      <c r="B327" s="2" t="str">
        <f t="shared" si="60"/>
        <v>Ativo</v>
      </c>
      <c r="C327" s="2" t="s">
        <v>641</v>
      </c>
      <c r="D327" s="2" t="str">
        <f t="shared" si="61"/>
        <v>Ellaria Targaryen</v>
      </c>
      <c r="E327" s="2" t="s">
        <v>642</v>
      </c>
      <c r="F327" s="2" t="str">
        <f t="shared" si="62"/>
        <v>000.000.149-00</v>
      </c>
      <c r="G327" s="2">
        <v>54</v>
      </c>
      <c r="H327" s="2">
        <f ca="1">IF(G327="", DATEDIF(J327, TODAY(), "Y"), G327)</f>
        <v>54</v>
      </c>
      <c r="I327" s="6">
        <v>26230</v>
      </c>
      <c r="J327" s="6">
        <f t="shared" si="63"/>
        <v>26230</v>
      </c>
      <c r="K327" s="2" t="s">
        <v>100</v>
      </c>
      <c r="L327" s="2" t="str" cm="1">
        <f t="array" ref="L327">_xlfn.TEXTSPLIT(K327,"|")</f>
        <v>Fosso Cailin</v>
      </c>
      <c r="M327" s="2" t="s">
        <v>93</v>
      </c>
      <c r="N327" s="3">
        <v>18700</v>
      </c>
      <c r="O327" s="3">
        <f t="shared" si="64"/>
        <v>18700</v>
      </c>
      <c r="P327" s="4">
        <v>46000</v>
      </c>
      <c r="Q327" s="5">
        <f t="shared" si="65"/>
        <v>46000</v>
      </c>
      <c r="R327" s="2" t="s">
        <v>29</v>
      </c>
      <c r="S327" s="2" t="str">
        <f t="shared" si="66"/>
        <v>Sim</v>
      </c>
      <c r="T327" s="2" t="str">
        <f t="shared" si="67"/>
        <v>Sim</v>
      </c>
      <c r="U327" s="2">
        <v>4</v>
      </c>
      <c r="V327" s="2">
        <f t="shared" si="68"/>
        <v>4</v>
      </c>
      <c r="W327" s="2" t="str">
        <f t="shared" si="69"/>
        <v>baixo</v>
      </c>
      <c r="X327" s="5">
        <v>27500</v>
      </c>
      <c r="Y327" t="str">
        <f t="shared" si="70"/>
        <v>Positivo</v>
      </c>
      <c r="Z327" t="str">
        <f t="shared" si="71"/>
        <v>Positivo</v>
      </c>
      <c r="AA327" s="1">
        <f>IF(AND(Y327="Negativo",Z327="Negativo"),0,IF(AND(B327="Ativo",OR(Y327="Positivo",Z327="Positivo")),X327*8%,0))</f>
        <v>2200</v>
      </c>
    </row>
    <row r="328" spans="1:27">
      <c r="A328" s="2" t="s">
        <v>24</v>
      </c>
      <c r="B328" s="2" t="str">
        <f t="shared" si="60"/>
        <v>Ativo</v>
      </c>
      <c r="C328" s="2" t="s">
        <v>351</v>
      </c>
      <c r="D328" s="2" t="str">
        <f t="shared" si="61"/>
        <v>Bronn Royce</v>
      </c>
      <c r="E328" s="2">
        <v>36900</v>
      </c>
      <c r="F328" s="2" t="str">
        <f t="shared" si="62"/>
        <v>000.000.369-00</v>
      </c>
      <c r="G328" s="2">
        <v>61</v>
      </c>
      <c r="H328" s="2">
        <f ca="1">IF(G328="", DATEDIF(J328, TODAY(), "Y"), G328)</f>
        <v>61</v>
      </c>
      <c r="I328" s="2">
        <v>23928</v>
      </c>
      <c r="J328" s="6">
        <f t="shared" si="63"/>
        <v>23928</v>
      </c>
      <c r="K328" s="2" t="s">
        <v>229</v>
      </c>
      <c r="L328" s="2" t="str" cm="1">
        <f t="array" ref="L328">_xlfn.TEXTSPLIT(K328,"|")</f>
        <v>Solar do Entardecer</v>
      </c>
      <c r="M328" s="2" t="s">
        <v>33</v>
      </c>
      <c r="N328" s="3">
        <v>22900</v>
      </c>
      <c r="O328" s="3">
        <f t="shared" si="64"/>
        <v>22900</v>
      </c>
      <c r="P328" s="4">
        <v>7500</v>
      </c>
      <c r="Q328" s="5">
        <f t="shared" si="65"/>
        <v>7500</v>
      </c>
      <c r="R328" s="2" t="s">
        <v>46</v>
      </c>
      <c r="S328" s="2" t="str">
        <f t="shared" si="66"/>
        <v>Não</v>
      </c>
      <c r="T328" s="2" t="str">
        <f t="shared" si="67"/>
        <v>Não</v>
      </c>
      <c r="U328" s="2">
        <v>12</v>
      </c>
      <c r="V328" s="2">
        <f t="shared" si="68"/>
        <v>12</v>
      </c>
      <c r="W328" s="2" t="str">
        <f t="shared" si="69"/>
        <v>médio</v>
      </c>
      <c r="X328" s="5">
        <v>33000</v>
      </c>
      <c r="Y328" t="str">
        <f t="shared" si="70"/>
        <v>Positivo</v>
      </c>
      <c r="Z328" t="str">
        <f t="shared" si="71"/>
        <v>Positivo</v>
      </c>
      <c r="AA328" s="1">
        <f>IF(AND(Y328="Negativo",Z328="Negativo"),0,IF(AND(B328="Ativo",OR(Y328="Positivo",Z328="Positivo")),X328*8%,0))</f>
        <v>2640</v>
      </c>
    </row>
    <row r="329" spans="1:27">
      <c r="A329" s="2" t="s">
        <v>24</v>
      </c>
      <c r="B329" s="2" t="str">
        <f t="shared" si="60"/>
        <v>Ativo</v>
      </c>
      <c r="C329" s="2" t="s">
        <v>639</v>
      </c>
      <c r="D329" s="2" t="str">
        <f t="shared" si="61"/>
        <v>Varys Lannister</v>
      </c>
      <c r="E329" s="2" t="s">
        <v>643</v>
      </c>
      <c r="F329" s="2" t="str">
        <f t="shared" si="62"/>
        <v>000.000.010-00</v>
      </c>
      <c r="G329" s="2">
        <v>60</v>
      </c>
      <c r="H329" s="2">
        <f ca="1">IF(G329="", DATEDIF(J329, TODAY(), "Y"), G329)</f>
        <v>60</v>
      </c>
      <c r="I329" s="6">
        <v>24054</v>
      </c>
      <c r="J329" s="6">
        <f t="shared" si="63"/>
        <v>24054</v>
      </c>
      <c r="K329" s="2" t="s">
        <v>27</v>
      </c>
      <c r="L329" s="2" t="str" cm="1">
        <f t="array" ref="L329">_xlfn.TEXTSPLIT(K329,"|")</f>
        <v>Ninho da Águia</v>
      </c>
      <c r="M329" s="2" t="s">
        <v>45</v>
      </c>
      <c r="N329" s="3">
        <v>22600</v>
      </c>
      <c r="O329" s="3">
        <f t="shared" si="64"/>
        <v>22600</v>
      </c>
      <c r="P329" s="4">
        <v>80000</v>
      </c>
      <c r="Q329" s="5">
        <f t="shared" si="65"/>
        <v>80000</v>
      </c>
      <c r="R329" s="2" t="s">
        <v>46</v>
      </c>
      <c r="S329" s="2" t="str">
        <f t="shared" si="66"/>
        <v>Não</v>
      </c>
      <c r="T329" s="2" t="str">
        <f t="shared" si="67"/>
        <v>Não</v>
      </c>
      <c r="U329" s="2">
        <v>9</v>
      </c>
      <c r="V329" s="2">
        <f t="shared" si="68"/>
        <v>9</v>
      </c>
      <c r="W329" s="2" t="str">
        <f t="shared" si="69"/>
        <v>baixo</v>
      </c>
      <c r="X329" s="5">
        <v>58500</v>
      </c>
      <c r="Y329" t="str">
        <f t="shared" si="70"/>
        <v>Positivo</v>
      </c>
      <c r="Z329" t="str">
        <f t="shared" si="71"/>
        <v>Positivo</v>
      </c>
      <c r="AA329" s="1">
        <f>IF(AND(Y329="Negativo",Z329="Negativo"),0,IF(AND(B329="Ativo",OR(Y329="Positivo",Z329="Positivo")),X329*8%,0))</f>
        <v>4680</v>
      </c>
    </row>
    <row r="330" spans="1:27">
      <c r="A330" s="2" t="s">
        <v>24</v>
      </c>
      <c r="B330" s="2" t="str">
        <f t="shared" si="60"/>
        <v>Ativo</v>
      </c>
      <c r="C330" s="2" t="s">
        <v>258</v>
      </c>
      <c r="D330" s="2" t="str">
        <f t="shared" si="61"/>
        <v>Rickon Karstark</v>
      </c>
      <c r="E330" s="2">
        <v>36000</v>
      </c>
      <c r="F330" s="2" t="str">
        <f t="shared" si="62"/>
        <v>000.000.360-00</v>
      </c>
      <c r="G330" s="2">
        <v>26</v>
      </c>
      <c r="H330" s="2">
        <f ca="1">IF(G330="", DATEDIF(J330, TODAY(), "Y"), G330)</f>
        <v>26</v>
      </c>
      <c r="I330" s="6">
        <v>36573</v>
      </c>
      <c r="J330" s="6">
        <f t="shared" si="63"/>
        <v>36573</v>
      </c>
      <c r="K330" s="2" t="s">
        <v>585</v>
      </c>
      <c r="L330" s="2" t="str" cm="1">
        <f t="array" ref="L330:M330">_xlfn.TEXTSPLIT(K330,"|")</f>
        <v xml:space="preserve">Castelo Negro </v>
      </c>
      <c r="M330" s="2" t="str">
        <v xml:space="preserve"> Norte</v>
      </c>
      <c r="N330" s="3">
        <v>4800</v>
      </c>
      <c r="O330" s="3">
        <f t="shared" si="64"/>
        <v>4800</v>
      </c>
      <c r="P330" s="4">
        <v>48500</v>
      </c>
      <c r="Q330" s="5">
        <f t="shared" si="65"/>
        <v>48500</v>
      </c>
      <c r="R330" s="2" t="s">
        <v>29</v>
      </c>
      <c r="S330" s="2" t="str">
        <f t="shared" si="66"/>
        <v>Sim</v>
      </c>
      <c r="T330" s="2" t="str">
        <f t="shared" si="67"/>
        <v>Sim</v>
      </c>
      <c r="U330" s="2">
        <v>6</v>
      </c>
      <c r="V330" s="2">
        <f t="shared" si="68"/>
        <v>6</v>
      </c>
      <c r="W330" s="2" t="str">
        <f t="shared" si="69"/>
        <v>baixo</v>
      </c>
      <c r="X330" s="5">
        <v>56500</v>
      </c>
      <c r="Y330" t="str">
        <f t="shared" si="70"/>
        <v>Positivo</v>
      </c>
      <c r="Z330" t="str">
        <f t="shared" si="71"/>
        <v>Positivo</v>
      </c>
      <c r="AA330" s="1">
        <f>IF(AND(Y330="Negativo",Z330="Negativo"),0,IF(AND(B330="Ativo",OR(Y330="Positivo",Z330="Positivo")),X330*8%,0))</f>
        <v>4520</v>
      </c>
    </row>
    <row r="331" spans="1:27">
      <c r="A331" s="2" t="s">
        <v>30</v>
      </c>
      <c r="B331" s="2" t="str">
        <f t="shared" si="60"/>
        <v>Inativo</v>
      </c>
      <c r="C331" s="2" t="s">
        <v>644</v>
      </c>
      <c r="D331" s="2" t="str">
        <f t="shared" si="61"/>
        <v>Bronn Baratheon</v>
      </c>
      <c r="E331" s="2">
        <v>32500</v>
      </c>
      <c r="F331" s="2" t="str">
        <f t="shared" si="62"/>
        <v>000.000.325-00</v>
      </c>
      <c r="G331" s="2">
        <v>48</v>
      </c>
      <c r="H331" s="2">
        <f ca="1">IF(G331="", DATEDIF(J331, TODAY(), "Y"), G331)</f>
        <v>48</v>
      </c>
      <c r="I331" s="2">
        <v>28446</v>
      </c>
      <c r="J331" s="6">
        <f t="shared" si="63"/>
        <v>28446</v>
      </c>
      <c r="K331" s="2" t="s">
        <v>36</v>
      </c>
      <c r="L331" s="2" t="str" cm="1">
        <f t="array" ref="L331">_xlfn.TEXTSPLIT(K331,"|")</f>
        <v>Pedra do Dragão</v>
      </c>
      <c r="M331" s="2" t="s">
        <v>253</v>
      </c>
      <c r="N331" s="3">
        <v>6900</v>
      </c>
      <c r="O331" s="3">
        <f t="shared" si="64"/>
        <v>6900</v>
      </c>
      <c r="P331" s="4">
        <v>52500</v>
      </c>
      <c r="Q331" s="5">
        <f t="shared" si="65"/>
        <v>52500</v>
      </c>
      <c r="R331" s="2" t="s">
        <v>29</v>
      </c>
      <c r="S331" s="2" t="str">
        <f t="shared" si="66"/>
        <v>Sim</v>
      </c>
      <c r="T331" s="2" t="str">
        <f t="shared" si="67"/>
        <v>Sim</v>
      </c>
      <c r="U331" s="2">
        <v>0</v>
      </c>
      <c r="V331" s="2">
        <f t="shared" si="68"/>
        <v>0</v>
      </c>
      <c r="W331" s="2" t="str">
        <f t="shared" si="69"/>
        <v>baixo</v>
      </c>
      <c r="X331" s="5">
        <v>66000</v>
      </c>
      <c r="Y331" t="str">
        <f t="shared" si="70"/>
        <v>Positivo</v>
      </c>
      <c r="Z331" t="str">
        <f t="shared" si="71"/>
        <v>Negativo</v>
      </c>
      <c r="AA331" s="1">
        <f>IF(AND(Y331="Negativo",Z331="Negativo"),0,IF(AND(B331="Ativo",OR(Y331="Positivo",Z331="Positivo")),X331*8%,0))</f>
        <v>0</v>
      </c>
    </row>
    <row r="332" spans="1:27">
      <c r="A332" s="2" t="s">
        <v>24</v>
      </c>
      <c r="B332" s="2" t="str">
        <f t="shared" si="60"/>
        <v>Ativo</v>
      </c>
      <c r="C332" s="2" t="s">
        <v>645</v>
      </c>
      <c r="D332" s="2" t="str">
        <f t="shared" si="61"/>
        <v>Jojen Dayne</v>
      </c>
      <c r="E332" s="2" t="s">
        <v>646</v>
      </c>
      <c r="F332" s="2" t="str">
        <f t="shared" si="62"/>
        <v>000.000.199-00</v>
      </c>
      <c r="G332" s="2">
        <v>69</v>
      </c>
      <c r="H332" s="2">
        <f ca="1">IF(G332="", DATEDIF(J332, TODAY(), "Y"), G332)</f>
        <v>69</v>
      </c>
      <c r="J332" s="6">
        <f t="shared" si="63"/>
        <v>0</v>
      </c>
      <c r="K332" s="2" t="s">
        <v>229</v>
      </c>
      <c r="L332" s="2" t="str" cm="1">
        <f t="array" ref="L332">_xlfn.TEXTSPLIT(K332,"|")</f>
        <v>Solar do Entardecer</v>
      </c>
      <c r="M332" s="2" t="s">
        <v>125</v>
      </c>
      <c r="N332" s="3">
        <v>11400</v>
      </c>
      <c r="O332" s="3">
        <f t="shared" si="64"/>
        <v>11400</v>
      </c>
      <c r="P332" s="4">
        <v>0</v>
      </c>
      <c r="Q332" s="5">
        <f t="shared" si="65"/>
        <v>0</v>
      </c>
      <c r="R332" s="2" t="s">
        <v>119</v>
      </c>
      <c r="S332" s="2" t="str">
        <f t="shared" si="66"/>
        <v>sim</v>
      </c>
      <c r="T332" s="2" t="str">
        <f t="shared" si="67"/>
        <v>Sim</v>
      </c>
      <c r="U332" s="2">
        <v>13</v>
      </c>
      <c r="V332" s="2">
        <f t="shared" si="68"/>
        <v>13</v>
      </c>
      <c r="W332" s="2" t="str">
        <f t="shared" si="69"/>
        <v>médio</v>
      </c>
      <c r="X332" s="5">
        <v>79000</v>
      </c>
      <c r="Y332" t="str">
        <f t="shared" si="70"/>
        <v>Positivo</v>
      </c>
      <c r="Z332" t="str">
        <f t="shared" si="71"/>
        <v>Positivo</v>
      </c>
      <c r="AA332" s="1">
        <f>IF(AND(Y332="Negativo",Z332="Negativo"),0,IF(AND(B332="Ativo",OR(Y332="Positivo",Z332="Positivo")),X332*8%,0))</f>
        <v>6320</v>
      </c>
    </row>
    <row r="333" spans="1:27">
      <c r="A333" s="2" t="s">
        <v>24</v>
      </c>
      <c r="B333" s="2" t="str">
        <f t="shared" si="60"/>
        <v>Ativo</v>
      </c>
      <c r="C333" s="2" t="s">
        <v>85</v>
      </c>
      <c r="D333" s="2" t="str">
        <f t="shared" si="61"/>
        <v>Podrick Dayne</v>
      </c>
      <c r="E333" s="2">
        <v>22300</v>
      </c>
      <c r="F333" s="2" t="str">
        <f t="shared" si="62"/>
        <v>000.000.223-00</v>
      </c>
      <c r="G333" s="2">
        <v>25</v>
      </c>
      <c r="H333" s="2">
        <f ca="1">IF(G333="", DATEDIF(J333, TODAY(), "Y"), G333)</f>
        <v>25</v>
      </c>
      <c r="I333" s="6">
        <v>36831</v>
      </c>
      <c r="J333" s="6">
        <f t="shared" si="63"/>
        <v>36831</v>
      </c>
      <c r="K333" s="2" t="s">
        <v>86</v>
      </c>
      <c r="L333" s="2" t="str" cm="1">
        <f t="array" ref="L333">_xlfn.TEXTSPLIT(K333,"|")</f>
        <v>Vilavelha</v>
      </c>
      <c r="M333" s="2" t="s">
        <v>87</v>
      </c>
      <c r="N333" s="3">
        <v>9400</v>
      </c>
      <c r="O333" s="3">
        <f t="shared" si="64"/>
        <v>9400</v>
      </c>
      <c r="P333" s="4">
        <v>51500</v>
      </c>
      <c r="Q333" s="5">
        <f t="shared" si="65"/>
        <v>51500</v>
      </c>
      <c r="R333" s="2" t="s">
        <v>46</v>
      </c>
      <c r="S333" s="2" t="str">
        <f t="shared" si="66"/>
        <v>Não</v>
      </c>
      <c r="T333" s="2" t="str">
        <f t="shared" si="67"/>
        <v>Não</v>
      </c>
      <c r="U333" s="2">
        <v>14</v>
      </c>
      <c r="V333" s="2">
        <f t="shared" si="68"/>
        <v>14</v>
      </c>
      <c r="W333" s="2" t="str">
        <f t="shared" si="69"/>
        <v>médio</v>
      </c>
      <c r="X333" s="5">
        <v>74000</v>
      </c>
      <c r="Y333" t="str">
        <f t="shared" si="70"/>
        <v>Positivo</v>
      </c>
      <c r="Z333" t="str">
        <f t="shared" si="71"/>
        <v>Positivo</v>
      </c>
      <c r="AA333" s="1">
        <f>IF(AND(Y333="Negativo",Z333="Negativo"),0,IF(AND(B333="Ativo",OR(Y333="Positivo",Z333="Positivo")),X333*8%,0))</f>
        <v>5920</v>
      </c>
    </row>
    <row r="334" spans="1:27">
      <c r="A334" s="2" t="s">
        <v>24</v>
      </c>
      <c r="B334" s="2" t="str">
        <f t="shared" si="60"/>
        <v>Ativo</v>
      </c>
      <c r="C334" s="2" t="s">
        <v>647</v>
      </c>
      <c r="D334" s="2" t="str">
        <f t="shared" si="61"/>
        <v>Sandor Clegane</v>
      </c>
      <c r="E334" s="2" t="s">
        <v>648</v>
      </c>
      <c r="F334" s="2" t="str">
        <f t="shared" si="62"/>
        <v>000.000.164-00</v>
      </c>
      <c r="G334" s="2">
        <v>62</v>
      </c>
      <c r="H334" s="2">
        <f ca="1">IF(G334="", DATEDIF(J334, TODAY(), "Y"), G334)</f>
        <v>62</v>
      </c>
      <c r="I334" s="2">
        <v>23317</v>
      </c>
      <c r="J334" s="6">
        <f t="shared" si="63"/>
        <v>23317</v>
      </c>
      <c r="K334" s="2" t="s">
        <v>107</v>
      </c>
      <c r="L334" s="2" t="str" cm="1">
        <f t="array" ref="L334">_xlfn.TEXTSPLIT(K334,"|")</f>
        <v>Winterfell</v>
      </c>
      <c r="M334" s="2" t="s">
        <v>81</v>
      </c>
      <c r="N334" s="3">
        <v>10500</v>
      </c>
      <c r="O334" s="3">
        <f t="shared" si="64"/>
        <v>10500</v>
      </c>
      <c r="P334" s="4">
        <v>0</v>
      </c>
      <c r="Q334" s="5">
        <f t="shared" si="65"/>
        <v>0</v>
      </c>
      <c r="R334" s="2" t="s">
        <v>29</v>
      </c>
      <c r="S334" s="2" t="str">
        <f t="shared" si="66"/>
        <v>Sim</v>
      </c>
      <c r="T334" s="2" t="str">
        <f t="shared" si="67"/>
        <v>Sim</v>
      </c>
      <c r="U334" s="2">
        <v>4</v>
      </c>
      <c r="V334" s="2">
        <f t="shared" si="68"/>
        <v>4</v>
      </c>
      <c r="W334" s="2" t="str">
        <f t="shared" si="69"/>
        <v>baixo</v>
      </c>
      <c r="X334" s="5">
        <v>54500</v>
      </c>
      <c r="Y334" t="str">
        <f t="shared" si="70"/>
        <v>Positivo</v>
      </c>
      <c r="Z334" t="str">
        <f t="shared" si="71"/>
        <v>Positivo</v>
      </c>
      <c r="AA334" s="1">
        <f>IF(AND(Y334="Negativo",Z334="Negativo"),0,IF(AND(B334="Ativo",OR(Y334="Positivo",Z334="Positivo")),X334*8%,0))</f>
        <v>4360</v>
      </c>
    </row>
    <row r="335" spans="1:27">
      <c r="A335" s="2" t="s">
        <v>24</v>
      </c>
      <c r="B335" s="2" t="str">
        <f t="shared" si="60"/>
        <v>Ativo</v>
      </c>
      <c r="C335" s="2" t="s">
        <v>649</v>
      </c>
      <c r="D335" s="2" t="str">
        <f t="shared" si="61"/>
        <v>Thoros Westerling</v>
      </c>
      <c r="E335" s="2">
        <v>25700</v>
      </c>
      <c r="F335" s="2" t="str">
        <f t="shared" si="62"/>
        <v>000.000.257-00</v>
      </c>
      <c r="G335" s="2">
        <v>27</v>
      </c>
      <c r="H335" s="2">
        <f ca="1">IF(G335="", DATEDIF(J335, TODAY(), "Y"), G335)</f>
        <v>27</v>
      </c>
      <c r="I335" s="2">
        <v>36152</v>
      </c>
      <c r="J335" s="6">
        <f t="shared" si="63"/>
        <v>36152</v>
      </c>
      <c r="K335" s="2" t="s">
        <v>110</v>
      </c>
      <c r="L335" s="2" t="str" cm="1">
        <f t="array" ref="L335">_xlfn.TEXTSPLIT(K335,"|")</f>
        <v>Jardim de Cima</v>
      </c>
      <c r="M335" s="2" t="s">
        <v>147</v>
      </c>
      <c r="N335" s="3">
        <v>30000</v>
      </c>
      <c r="O335" s="3">
        <f t="shared" si="64"/>
        <v>30000</v>
      </c>
      <c r="P335" s="4">
        <v>27000</v>
      </c>
      <c r="Q335" s="5">
        <f t="shared" si="65"/>
        <v>27000</v>
      </c>
      <c r="R335" s="2" t="s">
        <v>39</v>
      </c>
      <c r="S335" s="2" t="str">
        <f t="shared" si="66"/>
        <v>não</v>
      </c>
      <c r="T335" s="2" t="str">
        <f t="shared" si="67"/>
        <v>Não</v>
      </c>
      <c r="U335" s="2">
        <v>28</v>
      </c>
      <c r="V335" s="2">
        <f t="shared" si="68"/>
        <v>28</v>
      </c>
      <c r="W335" s="2" t="str">
        <f t="shared" si="69"/>
        <v>alto</v>
      </c>
      <c r="X335" s="5">
        <v>28500</v>
      </c>
      <c r="Y335" t="str">
        <f t="shared" si="70"/>
        <v>Positivo</v>
      </c>
      <c r="Z335" t="str">
        <f t="shared" si="71"/>
        <v>Positivo</v>
      </c>
      <c r="AA335" s="1">
        <f>IF(AND(Y335="Negativo",Z335="Negativo"),0,IF(AND(B335="Ativo",OR(Y335="Positivo",Z335="Positivo")),X335*8%,0))</f>
        <v>2280</v>
      </c>
    </row>
    <row r="336" spans="1:27">
      <c r="A336" s="2" t="s">
        <v>24</v>
      </c>
      <c r="B336" s="2" t="str">
        <f t="shared" si="60"/>
        <v>Ativo</v>
      </c>
      <c r="C336" s="2" t="s">
        <v>650</v>
      </c>
      <c r="D336" s="2" t="str">
        <f t="shared" si="61"/>
        <v>Stannis Westerling</v>
      </c>
      <c r="E336" s="2" t="s">
        <v>651</v>
      </c>
      <c r="F336" s="2" t="str">
        <f t="shared" si="62"/>
        <v>000.000.071-00</v>
      </c>
      <c r="H336" s="2">
        <f ca="1">IF(G336="", DATEDIF(J336, TODAY(), "Y"), G336)</f>
        <v>31</v>
      </c>
      <c r="I336" s="6">
        <v>34769</v>
      </c>
      <c r="J336" s="6">
        <f t="shared" si="63"/>
        <v>34769</v>
      </c>
      <c r="K336" s="2" t="s">
        <v>49</v>
      </c>
      <c r="L336" s="2" t="str" cm="1">
        <f t="array" ref="L336">_xlfn.TEXTSPLIT(K336,"|")</f>
        <v>Lannisporto</v>
      </c>
      <c r="M336" s="2" t="s">
        <v>131</v>
      </c>
      <c r="N336" s="3">
        <v>9000</v>
      </c>
      <c r="O336" s="3">
        <f t="shared" si="64"/>
        <v>9000</v>
      </c>
      <c r="P336" s="4">
        <v>66000</v>
      </c>
      <c r="Q336" s="5">
        <f t="shared" si="65"/>
        <v>66000</v>
      </c>
      <c r="R336" s="2" t="s">
        <v>46</v>
      </c>
      <c r="S336" s="2" t="str">
        <f t="shared" si="66"/>
        <v>Não</v>
      </c>
      <c r="T336" s="2" t="str">
        <f t="shared" si="67"/>
        <v>Não</v>
      </c>
      <c r="U336" s="2">
        <v>24</v>
      </c>
      <c r="V336" s="2">
        <f t="shared" si="68"/>
        <v>24</v>
      </c>
      <c r="W336" s="2" t="str">
        <f t="shared" si="69"/>
        <v>médio</v>
      </c>
      <c r="X336" s="5">
        <v>72000</v>
      </c>
      <c r="Y336" t="str">
        <f t="shared" si="70"/>
        <v>Positivo</v>
      </c>
      <c r="Z336" t="str">
        <f t="shared" si="71"/>
        <v>Positivo</v>
      </c>
      <c r="AA336" s="1">
        <f>IF(AND(Y336="Negativo",Z336="Negativo"),0,IF(AND(B336="Ativo",OR(Y336="Positivo",Z336="Positivo")),X336*8%,0))</f>
        <v>5760</v>
      </c>
    </row>
    <row r="337" spans="1:27">
      <c r="A337" s="2" t="s">
        <v>30</v>
      </c>
      <c r="B337" s="2" t="str">
        <f t="shared" si="60"/>
        <v>Inativo</v>
      </c>
      <c r="C337" s="2" t="s">
        <v>197</v>
      </c>
      <c r="D337" s="2" t="str">
        <f t="shared" si="61"/>
        <v>Davos Tyrell</v>
      </c>
      <c r="E337" s="2" t="s">
        <v>652</v>
      </c>
      <c r="F337" s="2" t="str">
        <f t="shared" si="62"/>
        <v>000.000.079-00</v>
      </c>
      <c r="G337" s="2">
        <v>65</v>
      </c>
      <c r="H337" s="2">
        <f ca="1">IF(G337="", DATEDIF(J337, TODAY(), "Y"), G337)</f>
        <v>65</v>
      </c>
      <c r="I337" s="2">
        <v>22275</v>
      </c>
      <c r="J337" s="6">
        <f t="shared" si="63"/>
        <v>22275</v>
      </c>
      <c r="K337" s="2" t="s">
        <v>27</v>
      </c>
      <c r="L337" s="2" t="str" cm="1">
        <f t="array" ref="L337">_xlfn.TEXTSPLIT(K337,"|")</f>
        <v>Ninho da Águia</v>
      </c>
      <c r="M337" s="2" t="s">
        <v>28</v>
      </c>
      <c r="N337" s="3">
        <v>3300</v>
      </c>
      <c r="O337" s="3">
        <f t="shared" si="64"/>
        <v>3300</v>
      </c>
      <c r="P337" s="4">
        <v>43500</v>
      </c>
      <c r="Q337" s="5">
        <f t="shared" si="65"/>
        <v>43500</v>
      </c>
      <c r="R337" s="2" t="s">
        <v>46</v>
      </c>
      <c r="S337" s="2" t="str">
        <f t="shared" si="66"/>
        <v>Não</v>
      </c>
      <c r="T337" s="2" t="str">
        <f t="shared" si="67"/>
        <v>Não</v>
      </c>
      <c r="U337" s="2">
        <v>27</v>
      </c>
      <c r="V337" s="2">
        <f t="shared" si="68"/>
        <v>27</v>
      </c>
      <c r="W337" s="2" t="str">
        <f t="shared" si="69"/>
        <v>alto</v>
      </c>
      <c r="X337" s="5">
        <v>23500</v>
      </c>
      <c r="Y337" t="str">
        <f t="shared" si="70"/>
        <v>Positivo</v>
      </c>
      <c r="Z337" t="str">
        <f t="shared" si="71"/>
        <v>Positivo</v>
      </c>
      <c r="AA337" s="1">
        <f>IF(AND(Y337="Negativo",Z337="Negativo"),0,IF(AND(B337="Ativo",OR(Y337="Positivo",Z337="Positivo")),X337*8%,0))</f>
        <v>0</v>
      </c>
    </row>
    <row r="338" spans="1:27">
      <c r="A338" s="2" t="s">
        <v>24</v>
      </c>
      <c r="B338" s="2" t="str">
        <f t="shared" si="60"/>
        <v>Ativo</v>
      </c>
      <c r="C338" s="2" t="s">
        <v>653</v>
      </c>
      <c r="D338" s="2" t="str">
        <f t="shared" si="61"/>
        <v>Melisandre Cerwyn</v>
      </c>
      <c r="E338" s="2" t="s">
        <v>654</v>
      </c>
      <c r="F338" s="2" t="str">
        <f t="shared" si="62"/>
        <v>000.000.120-00</v>
      </c>
      <c r="G338" s="2">
        <v>29</v>
      </c>
      <c r="H338" s="2">
        <f ca="1">IF(G338="", DATEDIF(J338, TODAY(), "Y"), G338)</f>
        <v>29</v>
      </c>
      <c r="I338" s="6">
        <v>35392</v>
      </c>
      <c r="J338" s="6">
        <f t="shared" si="63"/>
        <v>35392</v>
      </c>
      <c r="K338" s="2" t="s">
        <v>174</v>
      </c>
      <c r="L338" s="2" t="str" cm="1">
        <f t="array" ref="L338">_xlfn.TEXTSPLIT(K338,"|")</f>
        <v>Atalaia da Água Cinzenta</v>
      </c>
      <c r="N338" s="3">
        <v>6400</v>
      </c>
      <c r="O338" s="3">
        <f t="shared" si="64"/>
        <v>6400</v>
      </c>
      <c r="P338" s="4">
        <v>19500</v>
      </c>
      <c r="Q338" s="5">
        <f t="shared" si="65"/>
        <v>19500</v>
      </c>
      <c r="R338" s="2" t="s">
        <v>46</v>
      </c>
      <c r="S338" s="2" t="str">
        <f t="shared" si="66"/>
        <v>Não</v>
      </c>
      <c r="T338" s="2" t="str">
        <f t="shared" si="67"/>
        <v>Não</v>
      </c>
      <c r="U338" s="2">
        <v>30</v>
      </c>
      <c r="V338" s="2">
        <f t="shared" si="68"/>
        <v>30</v>
      </c>
      <c r="W338" s="2" t="str">
        <f t="shared" si="69"/>
        <v>alto</v>
      </c>
      <c r="X338" s="5">
        <v>51000</v>
      </c>
      <c r="Y338" t="str">
        <f t="shared" si="70"/>
        <v>Positivo</v>
      </c>
      <c r="Z338" t="str">
        <f t="shared" si="71"/>
        <v>Positivo</v>
      </c>
      <c r="AA338" s="1">
        <f>IF(AND(Y338="Negativo",Z338="Negativo"),0,IF(AND(B338="Ativo",OR(Y338="Positivo",Z338="Positivo")),X338*8%,0))</f>
        <v>4080</v>
      </c>
    </row>
    <row r="339" spans="1:27">
      <c r="A339" s="2" t="s">
        <v>24</v>
      </c>
      <c r="B339" s="2" t="str">
        <f t="shared" si="60"/>
        <v>Ativo</v>
      </c>
      <c r="C339" s="2" t="s">
        <v>655</v>
      </c>
      <c r="D339" s="2" t="str">
        <f t="shared" si="61"/>
        <v>Thoros  Frey</v>
      </c>
      <c r="E339" s="2" t="s">
        <v>656</v>
      </c>
      <c r="F339" s="2" t="str">
        <f t="shared" si="62"/>
        <v>000.000.113-00</v>
      </c>
      <c r="G339" s="2">
        <v>55</v>
      </c>
      <c r="H339" s="2">
        <f ca="1">IF(G339="", DATEDIF(J339, TODAY(), "Y"), G339)</f>
        <v>55</v>
      </c>
      <c r="I339" s="2">
        <v>25844</v>
      </c>
      <c r="J339" s="6">
        <f t="shared" si="63"/>
        <v>25844</v>
      </c>
      <c r="K339" s="2" t="s">
        <v>110</v>
      </c>
      <c r="L339" s="2" t="str" cm="1">
        <f t="array" ref="L339">_xlfn.TEXTSPLIT(K339,"|")</f>
        <v>Jardim de Cima</v>
      </c>
      <c r="M339" s="2" t="s">
        <v>147</v>
      </c>
      <c r="N339" s="3">
        <v>17400</v>
      </c>
      <c r="O339" s="3">
        <f t="shared" si="64"/>
        <v>17400</v>
      </c>
      <c r="P339" s="4">
        <v>75500</v>
      </c>
      <c r="Q339" s="5">
        <f t="shared" si="65"/>
        <v>75500</v>
      </c>
      <c r="R339" s="2" t="s">
        <v>46</v>
      </c>
      <c r="S339" s="2" t="str">
        <f t="shared" si="66"/>
        <v>Não</v>
      </c>
      <c r="T339" s="2" t="str">
        <f t="shared" si="67"/>
        <v>Não</v>
      </c>
      <c r="U339" s="2">
        <v>9</v>
      </c>
      <c r="V339" s="2">
        <f t="shared" si="68"/>
        <v>9</v>
      </c>
      <c r="W339" s="2" t="str">
        <f t="shared" si="69"/>
        <v>baixo</v>
      </c>
      <c r="X339" s="5">
        <v>52000</v>
      </c>
      <c r="Y339" t="str">
        <f t="shared" si="70"/>
        <v>Positivo</v>
      </c>
      <c r="Z339" t="str">
        <f t="shared" si="71"/>
        <v>Positivo</v>
      </c>
      <c r="AA339" s="1">
        <f>IF(AND(Y339="Negativo",Z339="Negativo"),0,IF(AND(B339="Ativo",OR(Y339="Positivo",Z339="Positivo")),X339*8%,0))</f>
        <v>4160</v>
      </c>
    </row>
    <row r="340" spans="1:27">
      <c r="A340" s="2" t="s">
        <v>30</v>
      </c>
      <c r="B340" s="2" t="str">
        <f t="shared" si="60"/>
        <v>Inativo</v>
      </c>
      <c r="C340" s="2" t="s">
        <v>501</v>
      </c>
      <c r="D340" s="2" t="str">
        <f t="shared" si="61"/>
        <v>Missandei Glover</v>
      </c>
      <c r="E340" s="2">
        <v>34000</v>
      </c>
      <c r="F340" s="2" t="str">
        <f t="shared" si="62"/>
        <v>000.000.340-00</v>
      </c>
      <c r="G340" s="2">
        <v>38</v>
      </c>
      <c r="H340" s="2">
        <f ca="1">IF(G340="", DATEDIF(J340, TODAY(), "Y"), G340)</f>
        <v>38</v>
      </c>
      <c r="I340" s="6">
        <v>32118</v>
      </c>
      <c r="J340" s="6">
        <f t="shared" si="63"/>
        <v>32118</v>
      </c>
      <c r="K340" s="2" t="s">
        <v>32</v>
      </c>
      <c r="L340" s="2" t="str" cm="1">
        <f t="array" ref="L340">_xlfn.TEXTSPLIT(K340,"|")</f>
        <v>Ponta Tempestade</v>
      </c>
      <c r="M340" s="2" t="s">
        <v>74</v>
      </c>
      <c r="N340" s="3">
        <v>15800</v>
      </c>
      <c r="O340" s="3">
        <f t="shared" si="64"/>
        <v>15800</v>
      </c>
      <c r="P340" s="4">
        <v>14500</v>
      </c>
      <c r="Q340" s="5">
        <f t="shared" si="65"/>
        <v>14500</v>
      </c>
      <c r="R340" s="2" t="s">
        <v>46</v>
      </c>
      <c r="S340" s="2" t="str">
        <f t="shared" si="66"/>
        <v>Não</v>
      </c>
      <c r="T340" s="2" t="str">
        <f t="shared" si="67"/>
        <v>Não</v>
      </c>
      <c r="U340" s="2">
        <v>4</v>
      </c>
      <c r="V340" s="2">
        <f t="shared" si="68"/>
        <v>4</v>
      </c>
      <c r="W340" s="2" t="str">
        <f t="shared" si="69"/>
        <v>baixo</v>
      </c>
      <c r="X340" s="5">
        <v>21000</v>
      </c>
      <c r="Y340" t="str">
        <f t="shared" si="70"/>
        <v>Positivo</v>
      </c>
      <c r="Z340" t="str">
        <f t="shared" si="71"/>
        <v>Positivo</v>
      </c>
      <c r="AA340" s="1">
        <f>IF(AND(Y340="Negativo",Z340="Negativo"),0,IF(AND(B340="Ativo",OR(Y340="Positivo",Z340="Positivo")),X340*8%,0))</f>
        <v>0</v>
      </c>
    </row>
    <row r="341" spans="1:27">
      <c r="A341" s="2" t="s">
        <v>24</v>
      </c>
      <c r="B341" s="2" t="str">
        <f t="shared" si="60"/>
        <v>Ativo</v>
      </c>
      <c r="C341" s="2" t="s">
        <v>657</v>
      </c>
      <c r="D341" s="2" t="str">
        <f t="shared" si="61"/>
        <v>Gilly Glover</v>
      </c>
      <c r="E341" s="2">
        <v>2200</v>
      </c>
      <c r="F341" s="2" t="str">
        <f t="shared" si="62"/>
        <v>000.000.022-00</v>
      </c>
      <c r="G341" s="2">
        <v>58</v>
      </c>
      <c r="H341" s="2">
        <f ca="1">IF(G341="", DATEDIF(J341, TODAY(), "Y"), G341)</f>
        <v>58</v>
      </c>
      <c r="I341" s="2">
        <v>24840</v>
      </c>
      <c r="J341" s="6">
        <f t="shared" si="63"/>
        <v>24840</v>
      </c>
      <c r="K341" s="2" t="s">
        <v>174</v>
      </c>
      <c r="L341" s="2" t="str" cm="1">
        <f t="array" ref="L341">_xlfn.TEXTSPLIT(K341,"|")</f>
        <v>Atalaia da Água Cinzenta</v>
      </c>
      <c r="M341" s="2" t="s">
        <v>175</v>
      </c>
      <c r="N341" s="3">
        <v>2800</v>
      </c>
      <c r="O341" s="3">
        <f t="shared" si="64"/>
        <v>2800</v>
      </c>
      <c r="P341" s="4">
        <v>35000</v>
      </c>
      <c r="Q341" s="5">
        <f t="shared" si="65"/>
        <v>35000</v>
      </c>
      <c r="R341" s="2" t="s">
        <v>46</v>
      </c>
      <c r="S341" s="2" t="str">
        <f t="shared" si="66"/>
        <v>Não</v>
      </c>
      <c r="T341" s="2" t="str">
        <f t="shared" si="67"/>
        <v>Não</v>
      </c>
      <c r="U341" s="2">
        <v>36</v>
      </c>
      <c r="V341" s="2">
        <f t="shared" si="68"/>
        <v>36</v>
      </c>
      <c r="W341" s="2" t="str">
        <f t="shared" si="69"/>
        <v>alto</v>
      </c>
      <c r="X341" s="5">
        <v>9000</v>
      </c>
      <c r="Y341" t="str">
        <f t="shared" si="70"/>
        <v>Positivo</v>
      </c>
      <c r="Z341" t="str">
        <f t="shared" si="71"/>
        <v>Positivo</v>
      </c>
      <c r="AA341" s="1">
        <f>IF(AND(Y341="Negativo",Z341="Negativo"),0,IF(AND(B341="Ativo",OR(Y341="Positivo",Z341="Positivo")),X341*8%,0))</f>
        <v>720</v>
      </c>
    </row>
    <row r="342" spans="1:27">
      <c r="A342" s="2" t="s">
        <v>24</v>
      </c>
      <c r="B342" s="2" t="str">
        <f t="shared" si="60"/>
        <v>Ativo</v>
      </c>
      <c r="C342" s="2" t="s">
        <v>658</v>
      </c>
      <c r="D342" s="2" t="str">
        <f t="shared" si="61"/>
        <v>Robb Reed</v>
      </c>
      <c r="E342" s="2" t="s">
        <v>659</v>
      </c>
      <c r="F342" s="2" t="str">
        <f t="shared" si="62"/>
        <v>000.000.246-00</v>
      </c>
      <c r="H342" s="2">
        <f ca="1">IF(G342="", DATEDIF(J342, TODAY(), "Y"), G342)</f>
        <v>29</v>
      </c>
      <c r="I342" s="6">
        <v>35600</v>
      </c>
      <c r="J342" s="6">
        <f t="shared" si="63"/>
        <v>35600</v>
      </c>
      <c r="K342" s="2" t="s">
        <v>106</v>
      </c>
      <c r="L342" s="2" t="str" cm="1">
        <f t="array" ref="L342">_xlfn.TEXTSPLIT(K342,"|")</f>
        <v>Harrenhal</v>
      </c>
      <c r="M342" s="2" t="s">
        <v>78</v>
      </c>
      <c r="N342" s="3">
        <v>9600</v>
      </c>
      <c r="O342" s="3">
        <f t="shared" si="64"/>
        <v>9600</v>
      </c>
      <c r="P342" s="4">
        <v>41000</v>
      </c>
      <c r="Q342" s="5">
        <f t="shared" si="65"/>
        <v>41000</v>
      </c>
      <c r="R342" s="2" t="s">
        <v>46</v>
      </c>
      <c r="S342" s="2" t="str">
        <f t="shared" si="66"/>
        <v>Não</v>
      </c>
      <c r="T342" s="2" t="str">
        <f t="shared" si="67"/>
        <v>Não</v>
      </c>
      <c r="U342" s="2">
        <v>27</v>
      </c>
      <c r="V342" s="2">
        <f t="shared" si="68"/>
        <v>27</v>
      </c>
      <c r="W342" s="2" t="str">
        <f t="shared" si="69"/>
        <v>alto</v>
      </c>
      <c r="X342" s="5">
        <v>25000</v>
      </c>
      <c r="Y342" t="str">
        <f t="shared" si="70"/>
        <v>Positivo</v>
      </c>
      <c r="Z342" t="str">
        <f t="shared" si="71"/>
        <v>Positivo</v>
      </c>
      <c r="AA342" s="1">
        <f>IF(AND(Y342="Negativo",Z342="Negativo"),0,IF(AND(B342="Ativo",OR(Y342="Positivo",Z342="Positivo")),X342*8%,0))</f>
        <v>2000</v>
      </c>
    </row>
    <row r="343" spans="1:27">
      <c r="A343" s="2" t="s">
        <v>30</v>
      </c>
      <c r="B343" s="2" t="str">
        <f t="shared" si="60"/>
        <v>Inativo</v>
      </c>
      <c r="C343" s="2" t="s">
        <v>660</v>
      </c>
      <c r="D343" s="2" t="str">
        <f t="shared" si="61"/>
        <v>Petyr Mallister</v>
      </c>
      <c r="E343" s="2">
        <v>11600</v>
      </c>
      <c r="F343" s="2" t="str">
        <f t="shared" si="62"/>
        <v>000.000.116-00</v>
      </c>
      <c r="H343" s="2">
        <f ca="1">IF(G343="", DATEDIF(J343, TODAY(), "Y"), G343)</f>
        <v>36</v>
      </c>
      <c r="I343" s="2">
        <v>32890</v>
      </c>
      <c r="J343" s="6">
        <f t="shared" si="63"/>
        <v>32890</v>
      </c>
      <c r="K343" s="2" t="s">
        <v>77</v>
      </c>
      <c r="L343" s="2" t="str" cm="1">
        <f t="array" ref="L343">_xlfn.TEXTSPLIT(K343,"|")</f>
        <v>Correrrio</v>
      </c>
      <c r="M343" s="2" t="s">
        <v>273</v>
      </c>
      <c r="N343" s="3">
        <v>28100</v>
      </c>
      <c r="O343" s="3">
        <f t="shared" si="64"/>
        <v>28100</v>
      </c>
      <c r="P343" s="4">
        <v>36500</v>
      </c>
      <c r="Q343" s="5">
        <f t="shared" si="65"/>
        <v>36500</v>
      </c>
      <c r="R343" s="2" t="s">
        <v>46</v>
      </c>
      <c r="S343" s="2" t="str">
        <f t="shared" si="66"/>
        <v>Não</v>
      </c>
      <c r="T343" s="2" t="str">
        <f t="shared" si="67"/>
        <v>Não</v>
      </c>
      <c r="U343" s="2">
        <v>13</v>
      </c>
      <c r="V343" s="2">
        <f t="shared" si="68"/>
        <v>13</v>
      </c>
      <c r="W343" s="2" t="str">
        <f t="shared" si="69"/>
        <v>médio</v>
      </c>
      <c r="X343" s="5">
        <v>5000</v>
      </c>
      <c r="Y343" t="str">
        <f t="shared" si="70"/>
        <v>Positivo</v>
      </c>
      <c r="Z343" t="str">
        <f t="shared" si="71"/>
        <v>Positivo</v>
      </c>
      <c r="AA343" s="1">
        <f>IF(AND(Y343="Negativo",Z343="Negativo"),0,IF(AND(B343="Ativo",OR(Y343="Positivo",Z343="Positivo")),X343*8%,0))</f>
        <v>0</v>
      </c>
    </row>
    <row r="344" spans="1:27">
      <c r="A344" s="2" t="s">
        <v>30</v>
      </c>
      <c r="B344" s="2" t="str">
        <f t="shared" si="60"/>
        <v>Inativo</v>
      </c>
      <c r="C344" s="2" t="s">
        <v>581</v>
      </c>
      <c r="D344" s="2" t="str">
        <f t="shared" si="61"/>
        <v>Cersei Tarth</v>
      </c>
      <c r="E344" s="2">
        <v>20300</v>
      </c>
      <c r="F344" s="2" t="str">
        <f t="shared" si="62"/>
        <v>000.000.203-00</v>
      </c>
      <c r="G344" s="2">
        <v>46</v>
      </c>
      <c r="H344" s="2">
        <f ca="1">IF(G344="", DATEDIF(J344, TODAY(), "Y"), G344)</f>
        <v>46</v>
      </c>
      <c r="I344" s="6">
        <v>29427</v>
      </c>
      <c r="J344" s="6">
        <f t="shared" si="63"/>
        <v>29427</v>
      </c>
      <c r="K344" s="2" t="s">
        <v>106</v>
      </c>
      <c r="L344" s="2" t="str" cm="1">
        <f t="array" ref="L344">_xlfn.TEXTSPLIT(K344,"|")</f>
        <v>Harrenhal</v>
      </c>
      <c r="M344" s="2" t="s">
        <v>84</v>
      </c>
      <c r="O344" s="3" t="str">
        <f t="shared" si="64"/>
        <v/>
      </c>
      <c r="P344" s="4">
        <v>37500</v>
      </c>
      <c r="Q344" s="5">
        <f t="shared" si="65"/>
        <v>37500</v>
      </c>
      <c r="R344" s="2" t="s">
        <v>46</v>
      </c>
      <c r="S344" s="2" t="str">
        <f t="shared" si="66"/>
        <v>Não</v>
      </c>
      <c r="T344" s="2" t="str">
        <f t="shared" si="67"/>
        <v>Não</v>
      </c>
      <c r="V344" s="2">
        <f t="shared" si="68"/>
        <v>0</v>
      </c>
      <c r="W344" s="2" t="str">
        <f t="shared" si="69"/>
        <v>baixo</v>
      </c>
      <c r="X344" s="5">
        <v>77000</v>
      </c>
      <c r="Y344" t="str">
        <f t="shared" si="70"/>
        <v>Positivo</v>
      </c>
      <c r="Z344" t="str">
        <f t="shared" si="71"/>
        <v>Positivo</v>
      </c>
      <c r="AA344" s="1">
        <f>IF(AND(Y344="Negativo",Z344="Negativo"),0,IF(AND(B344="Ativo",OR(Y344="Positivo",Z344="Positivo")),X344*8%,0))</f>
        <v>0</v>
      </c>
    </row>
    <row r="345" spans="1:27">
      <c r="A345" s="2" t="s">
        <v>30</v>
      </c>
      <c r="B345" s="2" t="str">
        <f t="shared" si="60"/>
        <v>Inativo</v>
      </c>
      <c r="C345" s="2" t="s">
        <v>274</v>
      </c>
      <c r="D345" s="2" t="str">
        <f t="shared" si="61"/>
        <v>Loras Payne</v>
      </c>
      <c r="E345" s="2" t="s">
        <v>275</v>
      </c>
      <c r="F345" s="2" t="str">
        <f t="shared" si="62"/>
        <v>000.000.027-00</v>
      </c>
      <c r="G345" s="2">
        <v>30</v>
      </c>
      <c r="H345" s="2">
        <f ca="1">IF(G345="", DATEDIF(J345, TODAY(), "Y"), G345)</f>
        <v>30</v>
      </c>
      <c r="I345" s="6">
        <v>35200</v>
      </c>
      <c r="J345" s="6">
        <f t="shared" si="63"/>
        <v>35200</v>
      </c>
      <c r="K345" s="2" t="s">
        <v>68</v>
      </c>
      <c r="L345" s="2" t="str" cm="1">
        <f t="array" ref="L345">_xlfn.TEXTSPLIT(K345,"|")</f>
        <v>Braavos</v>
      </c>
      <c r="M345" s="2" t="s">
        <v>187</v>
      </c>
      <c r="N345" s="3">
        <v>26500</v>
      </c>
      <c r="O345" s="3">
        <f t="shared" si="64"/>
        <v>26500</v>
      </c>
      <c r="P345" s="4">
        <v>14500</v>
      </c>
      <c r="Q345" s="5">
        <f t="shared" si="65"/>
        <v>14500</v>
      </c>
      <c r="R345" s="2">
        <v>0</v>
      </c>
      <c r="S345" s="2" t="str">
        <f t="shared" si="66"/>
        <v>não</v>
      </c>
      <c r="T345" s="2" t="str">
        <f t="shared" si="67"/>
        <v>Não</v>
      </c>
      <c r="U345" s="2">
        <v>15</v>
      </c>
      <c r="V345" s="2">
        <f t="shared" si="68"/>
        <v>15</v>
      </c>
      <c r="W345" s="2" t="str">
        <f t="shared" si="69"/>
        <v>médio</v>
      </c>
      <c r="X345" s="5">
        <v>39000</v>
      </c>
      <c r="Y345" t="str">
        <f t="shared" si="70"/>
        <v>Positivo</v>
      </c>
      <c r="Z345" t="str">
        <f t="shared" si="71"/>
        <v>Positivo</v>
      </c>
      <c r="AA345" s="1">
        <f>IF(AND(Y345="Negativo",Z345="Negativo"),0,IF(AND(B345="Ativo",OR(Y345="Positivo",Z345="Positivo")),X345*8%,0))</f>
        <v>0</v>
      </c>
    </row>
    <row r="346" spans="1:27">
      <c r="A346" s="2" t="s">
        <v>24</v>
      </c>
      <c r="B346" s="2" t="str">
        <f t="shared" si="60"/>
        <v>Ativo</v>
      </c>
      <c r="C346" s="2" t="s">
        <v>661</v>
      </c>
      <c r="D346" s="2" t="str">
        <f t="shared" si="61"/>
        <v>Rickon Frey</v>
      </c>
      <c r="E346" s="2" t="s">
        <v>662</v>
      </c>
      <c r="F346" s="2" t="str">
        <f t="shared" si="62"/>
        <v>000.000.013-00</v>
      </c>
      <c r="G346" s="2">
        <v>60</v>
      </c>
      <c r="H346" s="2">
        <f ca="1">IF(G346="", DATEDIF(J346, TODAY(), "Y"), G346)</f>
        <v>60</v>
      </c>
      <c r="I346" s="2">
        <v>24202</v>
      </c>
      <c r="J346" s="6">
        <f t="shared" si="63"/>
        <v>24202</v>
      </c>
      <c r="K346" s="2" t="s">
        <v>229</v>
      </c>
      <c r="L346" s="2" t="str" cm="1">
        <f t="array" ref="L346">_xlfn.TEXTSPLIT(K346,"|")</f>
        <v>Solar do Entardecer</v>
      </c>
      <c r="M346" s="2" t="s">
        <v>33</v>
      </c>
      <c r="N346" s="3">
        <v>5500</v>
      </c>
      <c r="O346" s="3">
        <f t="shared" si="64"/>
        <v>5500</v>
      </c>
      <c r="P346" s="4">
        <v>0</v>
      </c>
      <c r="Q346" s="5">
        <f t="shared" si="65"/>
        <v>0</v>
      </c>
      <c r="R346" s="2" t="s">
        <v>128</v>
      </c>
      <c r="S346" s="2" t="str">
        <f t="shared" si="66"/>
        <v>Nao</v>
      </c>
      <c r="T346" s="2" t="str">
        <f t="shared" si="67"/>
        <v>Não</v>
      </c>
      <c r="U346" s="2">
        <v>26</v>
      </c>
      <c r="V346" s="2">
        <f t="shared" si="68"/>
        <v>26</v>
      </c>
      <c r="W346" s="2" t="str">
        <f t="shared" si="69"/>
        <v>alto</v>
      </c>
      <c r="X346" s="5">
        <v>52500</v>
      </c>
      <c r="Y346" t="str">
        <f t="shared" si="70"/>
        <v>Positivo</v>
      </c>
      <c r="Z346" t="str">
        <f t="shared" si="71"/>
        <v>Positivo</v>
      </c>
      <c r="AA346" s="1">
        <f>IF(AND(Y346="Negativo",Z346="Negativo"),0,IF(AND(B346="Ativo",OR(Y346="Positivo",Z346="Positivo")),X346*8%,0))</f>
        <v>4200</v>
      </c>
    </row>
    <row r="347" spans="1:27">
      <c r="A347" s="2" t="s">
        <v>24</v>
      </c>
      <c r="B347" s="2" t="str">
        <f t="shared" si="60"/>
        <v>Ativo</v>
      </c>
      <c r="C347" s="2" t="s">
        <v>663</v>
      </c>
      <c r="D347" s="2" t="str">
        <f t="shared" si="61"/>
        <v>Loras  Tarth</v>
      </c>
      <c r="E347" s="2" t="s">
        <v>664</v>
      </c>
      <c r="F347" s="2" t="str">
        <f t="shared" si="62"/>
        <v>000.000.286-00</v>
      </c>
      <c r="G347" s="2">
        <v>43</v>
      </c>
      <c r="H347" s="2">
        <f ca="1">IF(G347="", DATEDIF(J347, TODAY(), "Y"), G347)</f>
        <v>43</v>
      </c>
      <c r="I347" s="2">
        <v>30437</v>
      </c>
      <c r="J347" s="6">
        <f t="shared" si="63"/>
        <v>30437</v>
      </c>
      <c r="K347" s="2" t="s">
        <v>158</v>
      </c>
      <c r="L347" s="2" t="str" cm="1">
        <f t="array" ref="L347">_xlfn.TEXTSPLIT(K347,"|")</f>
        <v>Porto Real</v>
      </c>
      <c r="M347" s="2" t="s">
        <v>37</v>
      </c>
      <c r="N347" s="3">
        <v>14600</v>
      </c>
      <c r="O347" s="3">
        <f t="shared" si="64"/>
        <v>14600</v>
      </c>
      <c r="P347" s="4">
        <v>18500</v>
      </c>
      <c r="Q347" s="5">
        <f t="shared" si="65"/>
        <v>18500</v>
      </c>
      <c r="R347" s="2" t="s">
        <v>119</v>
      </c>
      <c r="S347" s="2" t="str">
        <f t="shared" si="66"/>
        <v>sim</v>
      </c>
      <c r="T347" s="2" t="str">
        <f t="shared" si="67"/>
        <v>Sim</v>
      </c>
      <c r="U347" s="2">
        <v>22</v>
      </c>
      <c r="V347" s="2">
        <f t="shared" si="68"/>
        <v>22</v>
      </c>
      <c r="W347" s="2" t="str">
        <f t="shared" si="69"/>
        <v>médio</v>
      </c>
      <c r="X347" s="5">
        <v>16500</v>
      </c>
      <c r="Y347" t="str">
        <f t="shared" si="70"/>
        <v>Positivo</v>
      </c>
      <c r="Z347" t="str">
        <f t="shared" si="71"/>
        <v>Positivo</v>
      </c>
      <c r="AA347" s="1">
        <f>IF(AND(Y347="Negativo",Z347="Negativo"),0,IF(AND(B347="Ativo",OR(Y347="Positivo",Z347="Positivo")),X347*8%,0))</f>
        <v>1320</v>
      </c>
    </row>
    <row r="348" spans="1:27">
      <c r="A348" s="2" t="s">
        <v>111</v>
      </c>
      <c r="B348" s="2" t="str">
        <f t="shared" si="60"/>
        <v>Ativo</v>
      </c>
      <c r="C348" s="2" t="s">
        <v>604</v>
      </c>
      <c r="D348" s="2" t="str">
        <f t="shared" si="61"/>
        <v>Jon Hornwood</v>
      </c>
      <c r="E348" s="2">
        <v>33100</v>
      </c>
      <c r="F348" s="2" t="str">
        <f t="shared" si="62"/>
        <v>000.000.331-00</v>
      </c>
      <c r="H348" s="2">
        <f ca="1">IF(G348="", DATEDIF(J348, TODAY(), "Y"), G348)</f>
        <v>26</v>
      </c>
      <c r="I348" s="2">
        <v>36759</v>
      </c>
      <c r="J348" s="6">
        <f t="shared" si="63"/>
        <v>36759</v>
      </c>
      <c r="K348" s="2" t="s">
        <v>121</v>
      </c>
      <c r="L348" s="2" t="str" cm="1">
        <f t="array" ref="L348">_xlfn.TEXTSPLIT(K348,"|")</f>
        <v>Dorne</v>
      </c>
      <c r="M348" s="2" t="s">
        <v>121</v>
      </c>
      <c r="N348" s="3">
        <v>23200</v>
      </c>
      <c r="O348" s="3">
        <f t="shared" si="64"/>
        <v>23200</v>
      </c>
      <c r="P348" s="4">
        <v>54500</v>
      </c>
      <c r="Q348" s="5">
        <f t="shared" si="65"/>
        <v>54500</v>
      </c>
      <c r="R348" s="2">
        <v>1</v>
      </c>
      <c r="S348" s="2" t="str">
        <f t="shared" si="66"/>
        <v>sim</v>
      </c>
      <c r="T348" s="2" t="str">
        <f t="shared" si="67"/>
        <v>Sim</v>
      </c>
      <c r="U348" s="2">
        <v>26</v>
      </c>
      <c r="V348" s="2">
        <f t="shared" si="68"/>
        <v>26</v>
      </c>
      <c r="W348" s="2" t="str">
        <f t="shared" si="69"/>
        <v>alto</v>
      </c>
      <c r="X348" s="5">
        <v>39500</v>
      </c>
      <c r="Y348" t="str">
        <f t="shared" si="70"/>
        <v>Negativo</v>
      </c>
      <c r="Z348" t="str">
        <f t="shared" si="71"/>
        <v>Negativo</v>
      </c>
      <c r="AA348" s="1">
        <f>IF(AND(Y348="Negativo",Z348="Negativo"),0,IF(AND(B348="Ativo",OR(Y348="Positivo",Z348="Positivo")),X348*8%,0))</f>
        <v>0</v>
      </c>
    </row>
    <row r="349" spans="1:27">
      <c r="A349" s="2" t="s">
        <v>24</v>
      </c>
      <c r="B349" s="2" t="str">
        <f t="shared" si="60"/>
        <v>Ativo</v>
      </c>
      <c r="C349" s="2" t="s">
        <v>312</v>
      </c>
      <c r="D349" s="2" t="str">
        <f t="shared" si="61"/>
        <v>Meera Reed</v>
      </c>
      <c r="E349" s="2" t="s">
        <v>313</v>
      </c>
      <c r="F349" s="2" t="str">
        <f t="shared" si="62"/>
        <v>000.000.314-00</v>
      </c>
      <c r="G349" s="2">
        <v>53</v>
      </c>
      <c r="H349" s="2">
        <f ca="1">IF(G349="", DATEDIF(J349, TODAY(), "Y"), G349)</f>
        <v>53</v>
      </c>
      <c r="I349" s="6">
        <v>26584</v>
      </c>
      <c r="J349" s="6">
        <f t="shared" si="63"/>
        <v>26584</v>
      </c>
      <c r="K349" s="2" t="s">
        <v>100</v>
      </c>
      <c r="L349" s="2" t="str" cm="1">
        <f t="array" ref="L349">_xlfn.TEXTSPLIT(K349,"|")</f>
        <v>Fosso Cailin</v>
      </c>
      <c r="M349" s="2" t="s">
        <v>81</v>
      </c>
      <c r="N349" s="3">
        <v>12200</v>
      </c>
      <c r="O349" s="3">
        <f t="shared" si="64"/>
        <v>12200</v>
      </c>
      <c r="P349" s="4">
        <v>79500</v>
      </c>
      <c r="Q349" s="5">
        <f t="shared" si="65"/>
        <v>79500</v>
      </c>
      <c r="R349" s="2" t="s">
        <v>128</v>
      </c>
      <c r="S349" s="2" t="str">
        <f t="shared" si="66"/>
        <v>Nao</v>
      </c>
      <c r="T349" s="2" t="str">
        <f t="shared" si="67"/>
        <v>Não</v>
      </c>
      <c r="U349" s="2">
        <v>45</v>
      </c>
      <c r="V349" s="2">
        <f t="shared" si="68"/>
        <v>45</v>
      </c>
      <c r="W349" s="2" t="str">
        <f t="shared" si="69"/>
        <v>alto</v>
      </c>
      <c r="X349" s="5">
        <v>62000</v>
      </c>
      <c r="Y349" t="str">
        <f t="shared" si="70"/>
        <v>Positivo</v>
      </c>
      <c r="Z349" t="str">
        <f t="shared" si="71"/>
        <v>Positivo</v>
      </c>
      <c r="AA349" s="1">
        <f>IF(AND(Y349="Negativo",Z349="Negativo"),0,IF(AND(B349="Ativo",OR(Y349="Positivo",Z349="Positivo")),X349*8%,0))</f>
        <v>4960</v>
      </c>
    </row>
    <row r="350" spans="1:27">
      <c r="A350" s="2" t="s">
        <v>111</v>
      </c>
      <c r="B350" s="2" t="str">
        <f t="shared" si="60"/>
        <v>Ativo</v>
      </c>
      <c r="C350" s="2" t="s">
        <v>665</v>
      </c>
      <c r="D350" s="2" t="str">
        <f t="shared" si="61"/>
        <v>Theon Frey</v>
      </c>
      <c r="E350" s="2" t="s">
        <v>666</v>
      </c>
      <c r="F350" s="2" t="str">
        <f t="shared" si="62"/>
        <v>000.000.123-00</v>
      </c>
      <c r="G350" s="2">
        <v>19</v>
      </c>
      <c r="H350" s="2">
        <f ca="1">IF(G350="", DATEDIF(J350, TODAY(), "Y"), G350)</f>
        <v>19</v>
      </c>
      <c r="I350" s="6">
        <v>39209</v>
      </c>
      <c r="J350" s="6">
        <f t="shared" si="63"/>
        <v>39209</v>
      </c>
      <c r="K350" s="2" t="s">
        <v>151</v>
      </c>
      <c r="L350" s="2" t="str" cm="1">
        <f t="array" ref="L350">_xlfn.TEXTSPLIT(K350,"|")</f>
        <v>Monte Chifre</v>
      </c>
      <c r="M350" s="2" t="s">
        <v>87</v>
      </c>
      <c r="N350" s="3">
        <v>7200</v>
      </c>
      <c r="O350" s="3">
        <f t="shared" si="64"/>
        <v>7200</v>
      </c>
      <c r="P350" s="4">
        <v>16000</v>
      </c>
      <c r="Q350" s="5">
        <f t="shared" si="65"/>
        <v>16000</v>
      </c>
      <c r="R350" s="2" t="s">
        <v>46</v>
      </c>
      <c r="S350" s="2" t="str">
        <f t="shared" si="66"/>
        <v>Não</v>
      </c>
      <c r="T350" s="2" t="str">
        <f t="shared" si="67"/>
        <v>Não</v>
      </c>
      <c r="U350" s="2">
        <v>5</v>
      </c>
      <c r="V350" s="2">
        <f t="shared" si="68"/>
        <v>5</v>
      </c>
      <c r="W350" s="2" t="str">
        <f t="shared" si="69"/>
        <v>baixo</v>
      </c>
      <c r="X350" s="5">
        <v>52000</v>
      </c>
      <c r="Y350" t="str">
        <f t="shared" si="70"/>
        <v>Positivo</v>
      </c>
      <c r="Z350" t="str">
        <f t="shared" si="71"/>
        <v>Positivo</v>
      </c>
      <c r="AA350" s="1">
        <f>IF(AND(Y350="Negativo",Z350="Negativo"),0,IF(AND(B350="Ativo",OR(Y350="Positivo",Z350="Positivo")),X350*8%,0))</f>
        <v>4160</v>
      </c>
    </row>
    <row r="351" spans="1:27">
      <c r="A351" s="2" t="s">
        <v>30</v>
      </c>
      <c r="B351" s="2" t="str">
        <f t="shared" si="60"/>
        <v>Inativo</v>
      </c>
      <c r="C351" s="2" t="s">
        <v>667</v>
      </c>
      <c r="D351" s="2" t="str">
        <f t="shared" si="61"/>
        <v>Renly Tallhart</v>
      </c>
      <c r="E351" s="2">
        <v>11700</v>
      </c>
      <c r="F351" s="2" t="str">
        <f t="shared" si="62"/>
        <v>000.000.117-00</v>
      </c>
      <c r="G351" s="2">
        <v>27</v>
      </c>
      <c r="H351" s="2">
        <f ca="1">IF(G351="", DATEDIF(J351, TODAY(), "Y"), G351)</f>
        <v>27</v>
      </c>
      <c r="I351" s="2">
        <v>36151</v>
      </c>
      <c r="J351" s="6">
        <f t="shared" si="63"/>
        <v>36151</v>
      </c>
      <c r="K351" s="2" t="s">
        <v>107</v>
      </c>
      <c r="L351" s="2" t="str" cm="1">
        <f t="array" ref="L351">_xlfn.TEXTSPLIT(K351,"|")</f>
        <v>Winterfell</v>
      </c>
      <c r="M351" s="2" t="s">
        <v>81</v>
      </c>
      <c r="N351" s="3">
        <v>25900</v>
      </c>
      <c r="O351" s="3">
        <f t="shared" si="64"/>
        <v>25900</v>
      </c>
      <c r="P351" s="4">
        <v>0</v>
      </c>
      <c r="Q351" s="5">
        <f t="shared" si="65"/>
        <v>0</v>
      </c>
      <c r="R351" s="2" t="s">
        <v>29</v>
      </c>
      <c r="S351" s="2" t="str">
        <f t="shared" si="66"/>
        <v>Sim</v>
      </c>
      <c r="T351" s="2" t="str">
        <f t="shared" si="67"/>
        <v>Sim</v>
      </c>
      <c r="U351" s="2">
        <v>10</v>
      </c>
      <c r="V351" s="2">
        <f t="shared" si="68"/>
        <v>10</v>
      </c>
      <c r="W351" s="2" t="str">
        <f t="shared" si="69"/>
        <v>baixo</v>
      </c>
      <c r="X351" s="5">
        <v>5000</v>
      </c>
      <c r="Y351" t="str">
        <f t="shared" si="70"/>
        <v>Positivo</v>
      </c>
      <c r="Z351" t="str">
        <f t="shared" si="71"/>
        <v>Positivo</v>
      </c>
      <c r="AA351" s="1">
        <f>IF(AND(Y351="Negativo",Z351="Negativo"),0,IF(AND(B351="Ativo",OR(Y351="Positivo",Z351="Positivo")),X351*8%,0))</f>
        <v>0</v>
      </c>
    </row>
    <row r="352" spans="1:27">
      <c r="A352" s="2" t="s">
        <v>24</v>
      </c>
      <c r="B352" s="2" t="str">
        <f t="shared" si="60"/>
        <v>Ativo</v>
      </c>
      <c r="C352" s="2" t="s">
        <v>668</v>
      </c>
      <c r="D352" s="2" t="str">
        <f t="shared" si="61"/>
        <v>Yara Mallister</v>
      </c>
      <c r="E352" s="2" t="s">
        <v>669</v>
      </c>
      <c r="F352" s="2" t="str">
        <f t="shared" si="62"/>
        <v>000.000.134-00</v>
      </c>
      <c r="G352" s="2">
        <v>44</v>
      </c>
      <c r="H352" s="2">
        <f ca="1">IF(G352="", DATEDIF(J352, TODAY(), "Y"), G352)</f>
        <v>44</v>
      </c>
      <c r="I352" s="2">
        <v>29892</v>
      </c>
      <c r="J352" s="6">
        <f t="shared" si="63"/>
        <v>29892</v>
      </c>
      <c r="K352" s="2" t="s">
        <v>49</v>
      </c>
      <c r="L352" s="2" t="str" cm="1">
        <f t="array" ref="L352">_xlfn.TEXTSPLIT(K352,"|")</f>
        <v>Lannisporto</v>
      </c>
      <c r="M352" s="2" t="s">
        <v>53</v>
      </c>
      <c r="N352" s="3">
        <v>20600</v>
      </c>
      <c r="O352" s="3">
        <f t="shared" si="64"/>
        <v>20600</v>
      </c>
      <c r="P352" s="4">
        <v>8000</v>
      </c>
      <c r="Q352" s="5">
        <f t="shared" si="65"/>
        <v>8000</v>
      </c>
      <c r="R352" s="2" t="s">
        <v>46</v>
      </c>
      <c r="S352" s="2" t="str">
        <f t="shared" si="66"/>
        <v>Não</v>
      </c>
      <c r="T352" s="2" t="str">
        <f t="shared" si="67"/>
        <v>Não</v>
      </c>
      <c r="U352" s="2">
        <v>39</v>
      </c>
      <c r="V352" s="2">
        <f t="shared" si="68"/>
        <v>39</v>
      </c>
      <c r="W352" s="2" t="str">
        <f t="shared" si="69"/>
        <v>alto</v>
      </c>
      <c r="X352" s="5">
        <v>36000</v>
      </c>
      <c r="Y352" t="str">
        <f t="shared" si="70"/>
        <v>Positivo</v>
      </c>
      <c r="Z352" t="str">
        <f t="shared" si="71"/>
        <v>Positivo</v>
      </c>
      <c r="AA352" s="1">
        <f>IF(AND(Y352="Negativo",Z352="Negativo"),0,IF(AND(B352="Ativo",OR(Y352="Positivo",Z352="Positivo")),X352*8%,0))</f>
        <v>2880</v>
      </c>
    </row>
    <row r="353" spans="1:27">
      <c r="A353" s="2" t="s">
        <v>24</v>
      </c>
      <c r="B353" s="2" t="str">
        <f t="shared" si="60"/>
        <v>Ativo</v>
      </c>
      <c r="C353" s="2" t="s">
        <v>670</v>
      </c>
      <c r="D353" s="2" t="str">
        <f t="shared" si="61"/>
        <v>Grey Worm Targaryen</v>
      </c>
      <c r="E353" s="2" t="s">
        <v>671</v>
      </c>
      <c r="F353" s="2" t="str">
        <f t="shared" si="62"/>
        <v>000.000.060-00</v>
      </c>
      <c r="G353" s="2">
        <v>48</v>
      </c>
      <c r="H353" s="2">
        <f ca="1">IF(G353="", DATEDIF(J353, TODAY(), "Y"), G353)</f>
        <v>48</v>
      </c>
      <c r="I353" s="2">
        <v>28689</v>
      </c>
      <c r="J353" s="6">
        <f t="shared" si="63"/>
        <v>28689</v>
      </c>
      <c r="K353" s="2" t="s">
        <v>32</v>
      </c>
      <c r="L353" s="2" t="str" cm="1">
        <f t="array" ref="L353">_xlfn.TEXTSPLIT(K353,"|")</f>
        <v>Ponta Tempestade</v>
      </c>
      <c r="M353" s="2" t="s">
        <v>33</v>
      </c>
      <c r="N353" s="3">
        <v>18700</v>
      </c>
      <c r="O353" s="3">
        <f t="shared" si="64"/>
        <v>18700</v>
      </c>
      <c r="P353" s="4">
        <v>11000</v>
      </c>
      <c r="Q353" s="5">
        <f t="shared" si="65"/>
        <v>11000</v>
      </c>
      <c r="R353" s="2" t="s">
        <v>46</v>
      </c>
      <c r="S353" s="2" t="str">
        <f t="shared" si="66"/>
        <v>Não</v>
      </c>
      <c r="T353" s="2" t="str">
        <f t="shared" si="67"/>
        <v>Não</v>
      </c>
      <c r="U353" s="2">
        <v>28</v>
      </c>
      <c r="V353" s="2">
        <f t="shared" si="68"/>
        <v>28</v>
      </c>
      <c r="W353" s="2" t="str">
        <f t="shared" si="69"/>
        <v>alto</v>
      </c>
      <c r="X353" s="5">
        <v>18000</v>
      </c>
      <c r="Y353" t="str">
        <f t="shared" si="70"/>
        <v>Positivo</v>
      </c>
      <c r="Z353" t="str">
        <f t="shared" si="71"/>
        <v>Positivo</v>
      </c>
      <c r="AA353" s="1">
        <f>IF(AND(Y353="Negativo",Z353="Negativo"),0,IF(AND(B353="Ativo",OR(Y353="Positivo",Z353="Positivo")),X353*8%,0))</f>
        <v>1440</v>
      </c>
    </row>
    <row r="354" spans="1:27">
      <c r="A354" s="2" t="s">
        <v>24</v>
      </c>
      <c r="B354" s="2" t="str">
        <f t="shared" si="60"/>
        <v>Ativo</v>
      </c>
      <c r="C354" s="2" t="s">
        <v>672</v>
      </c>
      <c r="D354" s="2" t="str">
        <f t="shared" si="61"/>
        <v>Sandor Dondarrion</v>
      </c>
      <c r="E354" s="2">
        <v>8200</v>
      </c>
      <c r="F354" s="2" t="str">
        <f t="shared" si="62"/>
        <v>000.000.082-00</v>
      </c>
      <c r="G354" s="2">
        <v>20</v>
      </c>
      <c r="H354" s="2">
        <f ca="1">IF(G354="", DATEDIF(J354, TODAY(), "Y"), G354)</f>
        <v>20</v>
      </c>
      <c r="I354" s="2">
        <v>38894</v>
      </c>
      <c r="J354" s="6">
        <f t="shared" si="63"/>
        <v>38894</v>
      </c>
      <c r="K354" s="2" t="s">
        <v>92</v>
      </c>
      <c r="L354" s="2" t="str" cm="1">
        <f t="array" ref="L354">_xlfn.TEXTSPLIT(K354,"|")</f>
        <v>Ilha dos Ursos</v>
      </c>
      <c r="M354" s="2" t="s">
        <v>114</v>
      </c>
      <c r="N354" s="3">
        <v>24900</v>
      </c>
      <c r="O354" s="3">
        <f t="shared" si="64"/>
        <v>24900</v>
      </c>
      <c r="P354" s="4">
        <v>0</v>
      </c>
      <c r="Q354" s="5">
        <f t="shared" si="65"/>
        <v>0</v>
      </c>
      <c r="R354" s="2" t="s">
        <v>29</v>
      </c>
      <c r="S354" s="2" t="str">
        <f t="shared" si="66"/>
        <v>Sim</v>
      </c>
      <c r="T354" s="2" t="str">
        <f t="shared" si="67"/>
        <v>Sim</v>
      </c>
      <c r="U354" s="2">
        <v>14</v>
      </c>
      <c r="V354" s="2">
        <f t="shared" si="68"/>
        <v>14</v>
      </c>
      <c r="W354" s="2" t="str">
        <f t="shared" si="69"/>
        <v>médio</v>
      </c>
      <c r="X354" s="5">
        <v>49500</v>
      </c>
      <c r="Y354" t="str">
        <f t="shared" si="70"/>
        <v>Positivo</v>
      </c>
      <c r="Z354" t="str">
        <f t="shared" si="71"/>
        <v>Positivo</v>
      </c>
      <c r="AA354" s="1">
        <f>IF(AND(Y354="Negativo",Z354="Negativo"),0,IF(AND(B354="Ativo",OR(Y354="Positivo",Z354="Positivo")),X354*8%,0))</f>
        <v>3960</v>
      </c>
    </row>
    <row r="355" spans="1:27">
      <c r="A355" s="2" t="s">
        <v>30</v>
      </c>
      <c r="B355" s="2" t="str">
        <f t="shared" si="60"/>
        <v>Inativo</v>
      </c>
      <c r="C355" s="2" t="s">
        <v>673</v>
      </c>
      <c r="D355" s="2" t="str">
        <f t="shared" si="61"/>
        <v>Robert Manderly</v>
      </c>
      <c r="E355" s="2">
        <v>23000</v>
      </c>
      <c r="F355" s="2" t="str">
        <f t="shared" si="62"/>
        <v>000.000.230-00</v>
      </c>
      <c r="G355" s="2">
        <v>53</v>
      </c>
      <c r="H355" s="2">
        <f ca="1">IF(G355="", DATEDIF(J355, TODAY(), "Y"), G355)</f>
        <v>53</v>
      </c>
      <c r="I355" s="2">
        <v>26744</v>
      </c>
      <c r="J355" s="6">
        <f t="shared" si="63"/>
        <v>26744</v>
      </c>
      <c r="K355" s="2" t="s">
        <v>56</v>
      </c>
      <c r="L355" s="2" t="str" cm="1">
        <f t="array" ref="L355">_xlfn.TEXTSPLIT(K355,"|")</f>
        <v>Pyke</v>
      </c>
      <c r="M355" s="2" t="s">
        <v>72</v>
      </c>
      <c r="N355" s="3">
        <v>26400</v>
      </c>
      <c r="O355" s="3">
        <f t="shared" si="64"/>
        <v>26400</v>
      </c>
      <c r="P355" s="4">
        <v>9500</v>
      </c>
      <c r="Q355" s="5">
        <f t="shared" si="65"/>
        <v>9500</v>
      </c>
      <c r="R355" s="2" t="s">
        <v>39</v>
      </c>
      <c r="S355" s="2" t="str">
        <f t="shared" si="66"/>
        <v>não</v>
      </c>
      <c r="T355" s="2" t="str">
        <f t="shared" si="67"/>
        <v>Não</v>
      </c>
      <c r="U355" s="2">
        <v>21</v>
      </c>
      <c r="V355" s="2">
        <f t="shared" si="68"/>
        <v>21</v>
      </c>
      <c r="W355" s="2" t="str">
        <f t="shared" si="69"/>
        <v>médio</v>
      </c>
      <c r="X355" s="5">
        <v>16000</v>
      </c>
      <c r="Y355" t="str">
        <f t="shared" si="70"/>
        <v>Positivo</v>
      </c>
      <c r="Z355" t="str">
        <f t="shared" si="71"/>
        <v>Positivo</v>
      </c>
      <c r="AA355" s="1">
        <f>IF(AND(Y355="Negativo",Z355="Negativo"),0,IF(AND(B355="Ativo",OR(Y355="Positivo",Z355="Positivo")),X355*8%,0))</f>
        <v>0</v>
      </c>
    </row>
    <row r="356" spans="1:27">
      <c r="A356" s="2" t="s">
        <v>30</v>
      </c>
      <c r="B356" s="2" t="str">
        <f t="shared" si="60"/>
        <v>Inativo</v>
      </c>
      <c r="C356" s="2" t="s">
        <v>674</v>
      </c>
      <c r="D356" s="2" t="str">
        <f t="shared" si="61"/>
        <v>Margaery Tyrell</v>
      </c>
      <c r="E356" s="2" t="s">
        <v>675</v>
      </c>
      <c r="F356" s="2" t="str">
        <f t="shared" si="62"/>
        <v>000.000.107-00</v>
      </c>
      <c r="G356" s="2">
        <v>31</v>
      </c>
      <c r="H356" s="2">
        <f ca="1">IF(G356="", DATEDIF(J356, TODAY(), "Y"), G356)</f>
        <v>31</v>
      </c>
      <c r="I356" s="2">
        <v>34824</v>
      </c>
      <c r="J356" s="6">
        <f t="shared" si="63"/>
        <v>34824</v>
      </c>
      <c r="K356" s="2" t="s">
        <v>229</v>
      </c>
      <c r="L356" s="2" t="str" cm="1">
        <f t="array" ref="L356">_xlfn.TEXTSPLIT(K356,"|")</f>
        <v>Solar do Entardecer</v>
      </c>
      <c r="M356" s="2" t="s">
        <v>33</v>
      </c>
      <c r="N356" s="3">
        <v>29500</v>
      </c>
      <c r="O356" s="3">
        <f t="shared" si="64"/>
        <v>29500</v>
      </c>
      <c r="P356" s="4">
        <v>5000</v>
      </c>
      <c r="Q356" s="5">
        <f t="shared" si="65"/>
        <v>5000</v>
      </c>
      <c r="R356" s="2" t="s">
        <v>46</v>
      </c>
      <c r="S356" s="2" t="str">
        <f t="shared" si="66"/>
        <v>Não</v>
      </c>
      <c r="T356" s="2" t="str">
        <f t="shared" si="67"/>
        <v>Não</v>
      </c>
      <c r="U356" s="2">
        <v>22</v>
      </c>
      <c r="V356" s="2">
        <f t="shared" si="68"/>
        <v>22</v>
      </c>
      <c r="W356" s="2" t="str">
        <f t="shared" si="69"/>
        <v>médio</v>
      </c>
      <c r="X356" s="5">
        <v>18000</v>
      </c>
      <c r="Y356" t="str">
        <f t="shared" si="70"/>
        <v>Positivo</v>
      </c>
      <c r="Z356" t="str">
        <f t="shared" si="71"/>
        <v>Positivo</v>
      </c>
      <c r="AA356" s="1">
        <f>IF(AND(Y356="Negativo",Z356="Negativo"),0,IF(AND(B356="Ativo",OR(Y356="Positivo",Z356="Positivo")),X356*8%,0))</f>
        <v>0</v>
      </c>
    </row>
    <row r="357" spans="1:27">
      <c r="A357" s="2" t="s">
        <v>24</v>
      </c>
      <c r="B357" s="2" t="str">
        <f t="shared" si="60"/>
        <v>Ativo</v>
      </c>
      <c r="C357" s="2" t="s">
        <v>676</v>
      </c>
      <c r="D357" s="2" t="str">
        <f t="shared" si="61"/>
        <v>Daario Tarly</v>
      </c>
      <c r="E357" s="2" t="s">
        <v>677</v>
      </c>
      <c r="F357" s="2" t="str">
        <f t="shared" si="62"/>
        <v>000.000.046-00</v>
      </c>
      <c r="G357" s="2">
        <v>32</v>
      </c>
      <c r="H357" s="2">
        <f ca="1">IF(G357="", DATEDIF(J357, TODAY(), "Y"), G357)</f>
        <v>32</v>
      </c>
      <c r="I357" s="2">
        <v>34508</v>
      </c>
      <c r="J357" s="6">
        <f t="shared" si="63"/>
        <v>34508</v>
      </c>
      <c r="K357" s="2" t="s">
        <v>121</v>
      </c>
      <c r="L357" s="2" t="str" cm="1">
        <f t="array" ref="L357">_xlfn.TEXTSPLIT(K357,"|")</f>
        <v>Dorne</v>
      </c>
      <c r="M357" s="2" t="s">
        <v>121</v>
      </c>
      <c r="N357" s="3">
        <v>9800</v>
      </c>
      <c r="O357" s="3">
        <f t="shared" si="64"/>
        <v>9800</v>
      </c>
      <c r="P357" s="4">
        <v>0</v>
      </c>
      <c r="Q357" s="5">
        <f t="shared" si="65"/>
        <v>0</v>
      </c>
      <c r="R357" s="2" t="s">
        <v>46</v>
      </c>
      <c r="S357" s="2" t="str">
        <f t="shared" si="66"/>
        <v>Não</v>
      </c>
      <c r="T357" s="2" t="str">
        <f t="shared" si="67"/>
        <v>Não</v>
      </c>
      <c r="U357" s="2">
        <v>23</v>
      </c>
      <c r="V357" s="2">
        <f t="shared" si="68"/>
        <v>23</v>
      </c>
      <c r="W357" s="2" t="str">
        <f t="shared" si="69"/>
        <v>médio</v>
      </c>
      <c r="X357" s="5">
        <v>68000</v>
      </c>
      <c r="Y357" t="str">
        <f t="shared" si="70"/>
        <v>Positivo</v>
      </c>
      <c r="Z357" t="str">
        <f t="shared" si="71"/>
        <v>Positivo</v>
      </c>
      <c r="AA357" s="1">
        <f>IF(AND(Y357="Negativo",Z357="Negativo"),0,IF(AND(B357="Ativo",OR(Y357="Positivo",Z357="Positivo")),X357*8%,0))</f>
        <v>5440</v>
      </c>
    </row>
    <row r="358" spans="1:27">
      <c r="A358" s="2" t="s">
        <v>30</v>
      </c>
      <c r="B358" s="2" t="str">
        <f t="shared" si="60"/>
        <v>Inativo</v>
      </c>
      <c r="C358" s="2" t="s">
        <v>678</v>
      </c>
      <c r="D358" s="2" t="str">
        <f t="shared" si="61"/>
        <v>Tyrion Clegane</v>
      </c>
      <c r="E358" s="2" t="s">
        <v>679</v>
      </c>
      <c r="F358" s="2" t="str">
        <f t="shared" si="62"/>
        <v>000.000.281-00</v>
      </c>
      <c r="G358" s="2">
        <v>51</v>
      </c>
      <c r="H358" s="2">
        <f ca="1">IF(G358="", DATEDIF(J358, TODAY(), "Y"), G358)</f>
        <v>51</v>
      </c>
      <c r="I358" s="2">
        <v>27590</v>
      </c>
      <c r="J358" s="6">
        <f t="shared" si="63"/>
        <v>27590</v>
      </c>
      <c r="K358" s="2" t="s">
        <v>151</v>
      </c>
      <c r="L358" s="2" t="str" cm="1">
        <f t="array" ref="L358">_xlfn.TEXTSPLIT(K358,"|")</f>
        <v>Monte Chifre</v>
      </c>
      <c r="M358" s="2" t="s">
        <v>87</v>
      </c>
      <c r="N358" s="3">
        <v>11400</v>
      </c>
      <c r="O358" s="3">
        <f t="shared" si="64"/>
        <v>11400</v>
      </c>
      <c r="P358" s="4">
        <v>0</v>
      </c>
      <c r="Q358" s="5">
        <f t="shared" si="65"/>
        <v>0</v>
      </c>
      <c r="R358" s="2" t="s">
        <v>46</v>
      </c>
      <c r="S358" s="2" t="str">
        <f t="shared" si="66"/>
        <v>Não</v>
      </c>
      <c r="T358" s="2" t="str">
        <f t="shared" si="67"/>
        <v>Não</v>
      </c>
      <c r="U358" s="2">
        <v>17</v>
      </c>
      <c r="V358" s="2">
        <f t="shared" si="68"/>
        <v>17</v>
      </c>
      <c r="W358" s="2" t="str">
        <f t="shared" si="69"/>
        <v>médio</v>
      </c>
      <c r="X358" s="5">
        <v>55500</v>
      </c>
      <c r="Y358" t="str">
        <f t="shared" si="70"/>
        <v>Positivo</v>
      </c>
      <c r="Z358" t="str">
        <f t="shared" si="71"/>
        <v>Positivo</v>
      </c>
      <c r="AA358" s="1">
        <f>IF(AND(Y358="Negativo",Z358="Negativo"),0,IF(AND(B358="Ativo",OR(Y358="Positivo",Z358="Positivo")),X358*8%,0))</f>
        <v>0</v>
      </c>
    </row>
    <row r="359" spans="1:27">
      <c r="B359" s="2" t="str">
        <f t="shared" si="60"/>
        <v>Inativo</v>
      </c>
      <c r="C359" s="2" t="s">
        <v>680</v>
      </c>
      <c r="D359" s="2" t="str">
        <f t="shared" si="61"/>
        <v>Viserys Hightower</v>
      </c>
      <c r="E359" s="2" t="s">
        <v>681</v>
      </c>
      <c r="F359" s="2" t="str">
        <f t="shared" si="62"/>
        <v>000.000.080-00</v>
      </c>
      <c r="G359" s="2">
        <v>54</v>
      </c>
      <c r="H359" s="2">
        <f ca="1">IF(G359="", DATEDIF(J359, TODAY(), "Y"), G359)</f>
        <v>54</v>
      </c>
      <c r="I359" s="6">
        <v>26403</v>
      </c>
      <c r="J359" s="6">
        <f t="shared" si="63"/>
        <v>26403</v>
      </c>
      <c r="K359" s="2" t="s">
        <v>151</v>
      </c>
      <c r="L359" s="2" t="str" cm="1">
        <f t="array" ref="L359">_xlfn.TEXTSPLIT(K359,"|")</f>
        <v>Monte Chifre</v>
      </c>
      <c r="M359" s="2" t="s">
        <v>87</v>
      </c>
      <c r="N359" s="3">
        <v>20800</v>
      </c>
      <c r="O359" s="3">
        <f t="shared" si="64"/>
        <v>20800</v>
      </c>
      <c r="P359" s="4">
        <v>16000</v>
      </c>
      <c r="Q359" s="5">
        <f t="shared" si="65"/>
        <v>16000</v>
      </c>
      <c r="R359" s="2" t="s">
        <v>128</v>
      </c>
      <c r="S359" s="2" t="str">
        <f t="shared" si="66"/>
        <v>Nao</v>
      </c>
      <c r="T359" s="2" t="str">
        <f t="shared" si="67"/>
        <v>Não</v>
      </c>
      <c r="U359" s="2">
        <v>32</v>
      </c>
      <c r="V359" s="2">
        <f t="shared" si="68"/>
        <v>32</v>
      </c>
      <c r="W359" s="2" t="str">
        <f t="shared" si="69"/>
        <v>alto</v>
      </c>
      <c r="X359" s="5">
        <v>31500</v>
      </c>
      <c r="Y359" t="str">
        <f t="shared" si="70"/>
        <v>Positivo</v>
      </c>
      <c r="Z359" t="str">
        <f t="shared" si="71"/>
        <v>Positivo</v>
      </c>
      <c r="AA359" s="1">
        <f>IF(AND(Y359="Negativo",Z359="Negativo"),0,IF(AND(B359="Ativo",OR(Y359="Positivo",Z359="Positivo")),X359*8%,0))</f>
        <v>0</v>
      </c>
    </row>
    <row r="360" spans="1:27">
      <c r="A360" s="2" t="s">
        <v>30</v>
      </c>
      <c r="B360" s="2" t="str">
        <f t="shared" si="60"/>
        <v>Inativo</v>
      </c>
      <c r="C360" s="2" t="s">
        <v>682</v>
      </c>
      <c r="D360" s="2" t="str">
        <f t="shared" si="61"/>
        <v>Aegon Umber</v>
      </c>
      <c r="E360" s="2" t="s">
        <v>683</v>
      </c>
      <c r="F360" s="2" t="str">
        <f t="shared" si="62"/>
        <v>000.000.356-00</v>
      </c>
      <c r="G360" s="2">
        <v>66</v>
      </c>
      <c r="H360" s="2">
        <f ca="1">IF(G360="", DATEDIF(J360, TODAY(), "Y"), G360)</f>
        <v>66</v>
      </c>
      <c r="I360" s="6">
        <v>22101</v>
      </c>
      <c r="J360" s="6">
        <f t="shared" si="63"/>
        <v>22101</v>
      </c>
      <c r="K360" s="2" t="s">
        <v>63</v>
      </c>
      <c r="L360" s="2" t="str" cm="1">
        <f t="array" ref="L360">_xlfn.TEXTSPLIT(K360,"|")</f>
        <v>Meereen</v>
      </c>
      <c r="M360" s="2" t="s">
        <v>187</v>
      </c>
      <c r="N360" s="3">
        <v>16800</v>
      </c>
      <c r="O360" s="3">
        <f t="shared" si="64"/>
        <v>16800</v>
      </c>
      <c r="P360" s="4">
        <v>79500</v>
      </c>
      <c r="Q360" s="5">
        <f t="shared" si="65"/>
        <v>79500</v>
      </c>
      <c r="R360" s="2" t="s">
        <v>46</v>
      </c>
      <c r="S360" s="2" t="str">
        <f t="shared" si="66"/>
        <v>Não</v>
      </c>
      <c r="T360" s="2" t="str">
        <f t="shared" si="67"/>
        <v>Não</v>
      </c>
      <c r="U360" s="2">
        <v>36</v>
      </c>
      <c r="V360" s="2">
        <f t="shared" si="68"/>
        <v>36</v>
      </c>
      <c r="W360" s="2" t="str">
        <f t="shared" si="69"/>
        <v>alto</v>
      </c>
      <c r="X360" s="5">
        <v>1500</v>
      </c>
      <c r="Y360" t="str">
        <f t="shared" si="70"/>
        <v>Positivo</v>
      </c>
      <c r="Z360" t="str">
        <f t="shared" si="71"/>
        <v>Positivo</v>
      </c>
      <c r="AA360" s="1">
        <f>IF(AND(Y360="Negativo",Z360="Negativo"),0,IF(AND(B360="Ativo",OR(Y360="Positivo",Z360="Positivo")),X360*8%,0))</f>
        <v>0</v>
      </c>
    </row>
    <row r="361" spans="1:27">
      <c r="A361" s="2" t="s">
        <v>30</v>
      </c>
      <c r="B361" s="2" t="str">
        <f t="shared" si="60"/>
        <v>Inativo</v>
      </c>
      <c r="C361" s="2" t="s">
        <v>581</v>
      </c>
      <c r="D361" s="2" t="str">
        <f t="shared" si="61"/>
        <v>Cersei Tarth</v>
      </c>
      <c r="E361" s="2">
        <v>20300</v>
      </c>
      <c r="F361" s="2" t="str">
        <f t="shared" si="62"/>
        <v>000.000.203-00</v>
      </c>
      <c r="G361" s="2">
        <v>46</v>
      </c>
      <c r="H361" s="2">
        <f ca="1">IF(G361="", DATEDIF(J361, TODAY(), "Y"), G361)</f>
        <v>46</v>
      </c>
      <c r="I361" s="6">
        <v>29427</v>
      </c>
      <c r="J361" s="6">
        <f t="shared" si="63"/>
        <v>29427</v>
      </c>
      <c r="K361" s="2" t="s">
        <v>106</v>
      </c>
      <c r="L361" s="2" t="str" cm="1">
        <f t="array" ref="L361">_xlfn.TEXTSPLIT(K361,"|")</f>
        <v>Harrenhal</v>
      </c>
      <c r="M361" s="2" t="s">
        <v>84</v>
      </c>
      <c r="O361" s="3" t="str">
        <f t="shared" si="64"/>
        <v/>
      </c>
      <c r="P361" s="4">
        <v>37500</v>
      </c>
      <c r="Q361" s="5">
        <f t="shared" si="65"/>
        <v>37500</v>
      </c>
      <c r="R361" s="2" t="s">
        <v>46</v>
      </c>
      <c r="S361" s="2" t="str">
        <f t="shared" si="66"/>
        <v>Não</v>
      </c>
      <c r="T361" s="2" t="str">
        <f t="shared" si="67"/>
        <v>Não</v>
      </c>
      <c r="V361" s="2">
        <f t="shared" si="68"/>
        <v>0</v>
      </c>
      <c r="W361" s="2" t="str">
        <f t="shared" si="69"/>
        <v>baixo</v>
      </c>
      <c r="X361" s="5">
        <v>21500</v>
      </c>
      <c r="Y361" t="str">
        <f t="shared" si="70"/>
        <v>Positivo</v>
      </c>
      <c r="Z361" t="str">
        <f t="shared" si="71"/>
        <v>Positivo</v>
      </c>
      <c r="AA361" s="1">
        <f>IF(AND(Y361="Negativo",Z361="Negativo"),0,IF(AND(B361="Ativo",OR(Y361="Positivo",Z361="Positivo")),X361*8%,0))</f>
        <v>0</v>
      </c>
    </row>
    <row r="362" spans="1:27">
      <c r="A362" s="2" t="s">
        <v>24</v>
      </c>
      <c r="B362" s="2" t="str">
        <f t="shared" si="60"/>
        <v>Ativo</v>
      </c>
      <c r="C362" s="2" t="s">
        <v>684</v>
      </c>
      <c r="D362" s="2" t="str">
        <f t="shared" si="61"/>
        <v>Melisandre Glover</v>
      </c>
      <c r="E362" s="2" t="s">
        <v>685</v>
      </c>
      <c r="F362" s="2" t="str">
        <f t="shared" si="62"/>
        <v>000.000.329-00</v>
      </c>
      <c r="G362" s="2">
        <v>22</v>
      </c>
      <c r="H362" s="2">
        <f ca="1">IF(G362="", DATEDIF(J362, TODAY(), "Y"), G362)</f>
        <v>22</v>
      </c>
      <c r="I362" s="6">
        <v>38204</v>
      </c>
      <c r="J362" s="6">
        <f t="shared" si="63"/>
        <v>38204</v>
      </c>
      <c r="K362" s="2" t="s">
        <v>27</v>
      </c>
      <c r="L362" s="2" t="str" cm="1">
        <f t="array" ref="L362">_xlfn.TEXTSPLIT(K362,"|")</f>
        <v>Ninho da Águia</v>
      </c>
      <c r="M362" s="2" t="s">
        <v>28</v>
      </c>
      <c r="N362" s="3">
        <v>10500</v>
      </c>
      <c r="O362" s="3">
        <f t="shared" si="64"/>
        <v>10500</v>
      </c>
      <c r="P362" s="4">
        <v>50500</v>
      </c>
      <c r="Q362" s="5">
        <f t="shared" si="65"/>
        <v>50500</v>
      </c>
      <c r="R362" s="2" t="s">
        <v>46</v>
      </c>
      <c r="S362" s="2" t="str">
        <f t="shared" si="66"/>
        <v>Não</v>
      </c>
      <c r="T362" s="2" t="str">
        <f t="shared" si="67"/>
        <v>Não</v>
      </c>
      <c r="U362" s="2">
        <v>16</v>
      </c>
      <c r="V362" s="2">
        <f t="shared" si="68"/>
        <v>16</v>
      </c>
      <c r="W362" s="2" t="str">
        <f t="shared" si="69"/>
        <v>médio</v>
      </c>
      <c r="X362" s="5">
        <v>41500</v>
      </c>
      <c r="Y362" t="str">
        <f t="shared" si="70"/>
        <v>Positivo</v>
      </c>
      <c r="Z362" t="str">
        <f t="shared" si="71"/>
        <v>Positivo</v>
      </c>
      <c r="AA362" s="1">
        <f>IF(AND(Y362="Negativo",Z362="Negativo"),0,IF(AND(B362="Ativo",OR(Y362="Positivo",Z362="Positivo")),X362*8%,0))</f>
        <v>3320</v>
      </c>
    </row>
    <row r="363" spans="1:27">
      <c r="A363" s="2" t="s">
        <v>24</v>
      </c>
      <c r="B363" s="2" t="str">
        <f t="shared" si="60"/>
        <v>Ativo</v>
      </c>
      <c r="C363" s="2" t="s">
        <v>686</v>
      </c>
      <c r="D363" s="2" t="str">
        <f t="shared" si="61"/>
        <v>Jon Baelish</v>
      </c>
      <c r="E363" s="2">
        <v>21400</v>
      </c>
      <c r="F363" s="2" t="str">
        <f t="shared" si="62"/>
        <v>000.000.214-00</v>
      </c>
      <c r="G363" s="2">
        <v>67</v>
      </c>
      <c r="H363" s="2">
        <f ca="1">IF(G363="", DATEDIF(J363, TODAY(), "Y"), G363)</f>
        <v>67</v>
      </c>
      <c r="I363" s="6">
        <v>21689</v>
      </c>
      <c r="J363" s="6">
        <f t="shared" si="63"/>
        <v>21689</v>
      </c>
      <c r="K363" s="2" t="s">
        <v>63</v>
      </c>
      <c r="L363" s="2" t="str" cm="1">
        <f t="array" ref="L363">_xlfn.TEXTSPLIT(K363,"|")</f>
        <v>Meereen</v>
      </c>
      <c r="M363" s="2" t="s">
        <v>64</v>
      </c>
      <c r="N363" s="3">
        <v>10700</v>
      </c>
      <c r="O363" s="3">
        <f t="shared" si="64"/>
        <v>10700</v>
      </c>
      <c r="P363" s="4">
        <v>9000</v>
      </c>
      <c r="Q363" s="5">
        <f t="shared" si="65"/>
        <v>9000</v>
      </c>
      <c r="R363" s="2" t="s">
        <v>46</v>
      </c>
      <c r="S363" s="2" t="str">
        <f t="shared" si="66"/>
        <v>Não</v>
      </c>
      <c r="T363" s="2" t="str">
        <f t="shared" si="67"/>
        <v>Não</v>
      </c>
      <c r="U363" s="2">
        <v>37</v>
      </c>
      <c r="V363" s="2">
        <f t="shared" si="68"/>
        <v>37</v>
      </c>
      <c r="W363" s="2" t="str">
        <f t="shared" si="69"/>
        <v>alto</v>
      </c>
      <c r="X363" s="5">
        <v>53000</v>
      </c>
      <c r="Y363" t="str">
        <f t="shared" si="70"/>
        <v>Positivo</v>
      </c>
      <c r="Z363" t="str">
        <f t="shared" si="71"/>
        <v>Positivo</v>
      </c>
      <c r="AA363" s="1">
        <f>IF(AND(Y363="Negativo",Z363="Negativo"),0,IF(AND(B363="Ativo",OR(Y363="Positivo",Z363="Positivo")),X363*8%,0))</f>
        <v>4240</v>
      </c>
    </row>
    <row r="364" spans="1:27">
      <c r="A364" s="2" t="s">
        <v>24</v>
      </c>
      <c r="B364" s="2" t="str">
        <f t="shared" si="60"/>
        <v>Ativo</v>
      </c>
      <c r="C364" s="2" t="s">
        <v>687</v>
      </c>
      <c r="D364" s="2" t="str">
        <f t="shared" si="61"/>
        <v>Bran Tarly</v>
      </c>
      <c r="E364" s="2" t="s">
        <v>688</v>
      </c>
      <c r="F364" s="2" t="str">
        <f t="shared" si="62"/>
        <v>000.000.269-00</v>
      </c>
      <c r="G364" s="2">
        <v>53</v>
      </c>
      <c r="H364" s="2">
        <f ca="1">IF(G364="", DATEDIF(J364, TODAY(), "Y"), G364)</f>
        <v>53</v>
      </c>
      <c r="I364" s="6">
        <v>26790</v>
      </c>
      <c r="J364" s="6">
        <f t="shared" si="63"/>
        <v>26790</v>
      </c>
      <c r="K364" s="2" t="s">
        <v>68</v>
      </c>
      <c r="L364" s="2" t="str" cm="1">
        <f t="array" ref="L364">_xlfn.TEXTSPLIT(K364,"|")</f>
        <v>Braavos</v>
      </c>
      <c r="M364" s="2" t="s">
        <v>64</v>
      </c>
      <c r="N364" s="3" t="s">
        <v>122</v>
      </c>
      <c r="O364" s="3" t="str">
        <f t="shared" si="64"/>
        <v/>
      </c>
      <c r="P364" s="4">
        <v>21500</v>
      </c>
      <c r="Q364" s="5">
        <f t="shared" si="65"/>
        <v>21500</v>
      </c>
      <c r="R364" s="2" t="s">
        <v>29</v>
      </c>
      <c r="S364" s="2" t="str">
        <f t="shared" si="66"/>
        <v>Sim</v>
      </c>
      <c r="T364" s="2" t="str">
        <f t="shared" si="67"/>
        <v>Sim</v>
      </c>
      <c r="U364" s="2">
        <v>44</v>
      </c>
      <c r="V364" s="2">
        <f t="shared" si="68"/>
        <v>44</v>
      </c>
      <c r="W364" s="2" t="str">
        <f t="shared" si="69"/>
        <v>alto</v>
      </c>
      <c r="X364" s="5">
        <v>3500</v>
      </c>
      <c r="Y364" t="str">
        <f t="shared" si="70"/>
        <v>Negativo</v>
      </c>
      <c r="Z364" t="str">
        <f t="shared" si="71"/>
        <v>Positivo</v>
      </c>
      <c r="AA364" s="1">
        <f>IF(AND(Y364="Negativo",Z364="Negativo"),0,IF(AND(B364="Ativo",OR(Y364="Positivo",Z364="Positivo")),X364*8%,0))</f>
        <v>280</v>
      </c>
    </row>
    <row r="365" spans="1:27">
      <c r="A365" s="2" t="s">
        <v>30</v>
      </c>
      <c r="B365" s="2" t="str">
        <f t="shared" si="60"/>
        <v>Inativo</v>
      </c>
      <c r="C365" s="2" t="s">
        <v>689</v>
      </c>
      <c r="D365" s="2" t="str">
        <f t="shared" si="61"/>
        <v>Eddard Dayne</v>
      </c>
      <c r="E365" s="2">
        <v>3200</v>
      </c>
      <c r="F365" s="2" t="str">
        <f t="shared" si="62"/>
        <v>000.000.032-00</v>
      </c>
      <c r="G365" s="2">
        <v>31</v>
      </c>
      <c r="H365" s="2">
        <f ca="1">IF(G365="", DATEDIF(J365, TODAY(), "Y"), G365)</f>
        <v>31</v>
      </c>
      <c r="I365" s="2">
        <v>34746</v>
      </c>
      <c r="J365" s="6">
        <f t="shared" si="63"/>
        <v>34746</v>
      </c>
      <c r="K365" s="2" t="s">
        <v>68</v>
      </c>
      <c r="L365" s="2" t="str" cm="1">
        <f t="array" ref="L365">_xlfn.TEXTSPLIT(K365,"|")</f>
        <v>Braavos</v>
      </c>
      <c r="M365" s="2" t="s">
        <v>187</v>
      </c>
      <c r="N365" s="3">
        <v>18200</v>
      </c>
      <c r="O365" s="3">
        <f t="shared" si="64"/>
        <v>18200</v>
      </c>
      <c r="P365" s="4">
        <v>78500</v>
      </c>
      <c r="Q365" s="5">
        <f t="shared" si="65"/>
        <v>78500</v>
      </c>
      <c r="R365" s="2" t="s">
        <v>46</v>
      </c>
      <c r="S365" s="2" t="str">
        <f t="shared" si="66"/>
        <v>Não</v>
      </c>
      <c r="T365" s="2" t="str">
        <f t="shared" si="67"/>
        <v>Não</v>
      </c>
      <c r="U365" s="2">
        <v>9</v>
      </c>
      <c r="V365" s="2">
        <f t="shared" si="68"/>
        <v>9</v>
      </c>
      <c r="W365" s="2" t="str">
        <f t="shared" si="69"/>
        <v>baixo</v>
      </c>
      <c r="X365" s="5">
        <v>73000</v>
      </c>
      <c r="Y365" t="str">
        <f t="shared" si="70"/>
        <v>Positivo</v>
      </c>
      <c r="Z365" t="str">
        <f t="shared" si="71"/>
        <v>Positivo</v>
      </c>
      <c r="AA365" s="1">
        <f>IF(AND(Y365="Negativo",Z365="Negativo"),0,IF(AND(B365="Ativo",OR(Y365="Positivo",Z365="Positivo")),X365*8%,0))</f>
        <v>0</v>
      </c>
    </row>
    <row r="366" spans="1:27">
      <c r="A366" s="2" t="s">
        <v>24</v>
      </c>
      <c r="B366" s="2" t="str">
        <f t="shared" si="60"/>
        <v>Ativo</v>
      </c>
      <c r="C366" s="2" t="s">
        <v>193</v>
      </c>
      <c r="D366" s="2" t="str">
        <f t="shared" si="61"/>
        <v>Thoros Tarth</v>
      </c>
      <c r="E366" s="2" t="s">
        <v>690</v>
      </c>
      <c r="F366" s="2" t="str">
        <f t="shared" si="62"/>
        <v>000.000.280-00</v>
      </c>
      <c r="G366" s="2">
        <v>41</v>
      </c>
      <c r="H366" s="2">
        <f ca="1">IF(G366="", DATEDIF(J366, TODAY(), "Y"), G366)</f>
        <v>41</v>
      </c>
      <c r="I366" s="2">
        <v>31156</v>
      </c>
      <c r="J366" s="6">
        <f t="shared" si="63"/>
        <v>31156</v>
      </c>
      <c r="K366" s="2" t="s">
        <v>100</v>
      </c>
      <c r="L366" s="2" t="str" cm="1">
        <f t="array" ref="L366">_xlfn.TEXTSPLIT(K366,"|")</f>
        <v>Fosso Cailin</v>
      </c>
      <c r="M366" s="2" t="s">
        <v>93</v>
      </c>
      <c r="N366" s="3">
        <v>26500</v>
      </c>
      <c r="O366" s="3">
        <f t="shared" si="64"/>
        <v>26500</v>
      </c>
      <c r="P366" s="4">
        <v>29500</v>
      </c>
      <c r="Q366" s="5">
        <f t="shared" si="65"/>
        <v>29500</v>
      </c>
      <c r="R366" s="2" t="s">
        <v>46</v>
      </c>
      <c r="S366" s="2" t="str">
        <f t="shared" si="66"/>
        <v>Não</v>
      </c>
      <c r="T366" s="2" t="str">
        <f t="shared" si="67"/>
        <v>Não</v>
      </c>
      <c r="U366" s="2">
        <v>5</v>
      </c>
      <c r="V366" s="2">
        <f t="shared" si="68"/>
        <v>5</v>
      </c>
      <c r="W366" s="2" t="str">
        <f t="shared" si="69"/>
        <v>baixo</v>
      </c>
      <c r="X366" s="5">
        <v>75000</v>
      </c>
      <c r="Y366" t="str">
        <f t="shared" si="70"/>
        <v>Positivo</v>
      </c>
      <c r="Z366" t="str">
        <f t="shared" si="71"/>
        <v>Positivo</v>
      </c>
      <c r="AA366" s="1">
        <f>IF(AND(Y366="Negativo",Z366="Negativo"),0,IF(AND(B366="Ativo",OR(Y366="Positivo",Z366="Positivo")),X366*8%,0))</f>
        <v>6000</v>
      </c>
    </row>
    <row r="367" spans="1:27">
      <c r="A367" s="2" t="s">
        <v>30</v>
      </c>
      <c r="B367" s="2" t="str">
        <f t="shared" si="60"/>
        <v>Inativo</v>
      </c>
      <c r="C367" s="2" t="s">
        <v>691</v>
      </c>
      <c r="D367" s="2" t="str">
        <f t="shared" si="61"/>
        <v>Renly Bolton</v>
      </c>
      <c r="E367" s="2">
        <v>20600</v>
      </c>
      <c r="F367" s="2" t="str">
        <f t="shared" si="62"/>
        <v>000.000.206-00</v>
      </c>
      <c r="G367" s="2">
        <v>55</v>
      </c>
      <c r="H367" s="2">
        <f ca="1">IF(G367="", DATEDIF(J367, TODAY(), "Y"), G367)</f>
        <v>55</v>
      </c>
      <c r="I367" s="2">
        <v>26075</v>
      </c>
      <c r="J367" s="6">
        <f t="shared" si="63"/>
        <v>26075</v>
      </c>
      <c r="K367" s="2" t="s">
        <v>27</v>
      </c>
      <c r="L367" s="2" t="str" cm="1">
        <f t="array" ref="L367">_xlfn.TEXTSPLIT(K367,"|")</f>
        <v>Ninho da Águia</v>
      </c>
      <c r="M367" s="2" t="s">
        <v>28</v>
      </c>
      <c r="N367" s="3">
        <v>21100</v>
      </c>
      <c r="O367" s="3">
        <f t="shared" si="64"/>
        <v>21100</v>
      </c>
      <c r="P367" s="4">
        <v>67500</v>
      </c>
      <c r="Q367" s="5">
        <f t="shared" si="65"/>
        <v>67500</v>
      </c>
      <c r="R367" s="2" t="s">
        <v>46</v>
      </c>
      <c r="S367" s="2" t="str">
        <f t="shared" si="66"/>
        <v>Não</v>
      </c>
      <c r="T367" s="2" t="str">
        <f t="shared" si="67"/>
        <v>Não</v>
      </c>
      <c r="U367" s="2">
        <v>15</v>
      </c>
      <c r="V367" s="2">
        <f t="shared" si="68"/>
        <v>15</v>
      </c>
      <c r="W367" s="2" t="str">
        <f t="shared" si="69"/>
        <v>médio</v>
      </c>
      <c r="X367" s="5">
        <v>20000</v>
      </c>
      <c r="Y367" t="str">
        <f t="shared" si="70"/>
        <v>Positivo</v>
      </c>
      <c r="Z367" t="str">
        <f t="shared" si="71"/>
        <v>Positivo</v>
      </c>
      <c r="AA367" s="1">
        <f>IF(AND(Y367="Negativo",Z367="Negativo"),0,IF(AND(B367="Ativo",OR(Y367="Positivo",Z367="Positivo")),X367*8%,0))</f>
        <v>0</v>
      </c>
    </row>
    <row r="368" spans="1:27">
      <c r="A368" s="2" t="s">
        <v>24</v>
      </c>
      <c r="B368" s="2" t="str">
        <f t="shared" si="60"/>
        <v>Ativo</v>
      </c>
      <c r="C368" s="2" t="s">
        <v>692</v>
      </c>
      <c r="D368" s="2" t="str">
        <f t="shared" si="61"/>
        <v>Rhaegar Payne</v>
      </c>
      <c r="E368" s="2" t="s">
        <v>693</v>
      </c>
      <c r="F368" s="2" t="str">
        <f t="shared" si="62"/>
        <v>000.000.253-00</v>
      </c>
      <c r="G368" s="2">
        <v>60</v>
      </c>
      <c r="H368" s="2">
        <f ca="1">IF(G368="", DATEDIF(J368, TODAY(), "Y"), G368)</f>
        <v>60</v>
      </c>
      <c r="I368" s="2">
        <v>24272</v>
      </c>
      <c r="J368" s="6">
        <f t="shared" si="63"/>
        <v>24272</v>
      </c>
      <c r="K368" s="2" t="s">
        <v>151</v>
      </c>
      <c r="L368" s="2" t="str" cm="1">
        <f t="array" ref="L368">_xlfn.TEXTSPLIT(K368,"|")</f>
        <v>Monte Chifre</v>
      </c>
      <c r="M368" s="2" t="s">
        <v>147</v>
      </c>
      <c r="N368" s="3">
        <v>17300</v>
      </c>
      <c r="O368" s="3">
        <f t="shared" si="64"/>
        <v>17300</v>
      </c>
      <c r="P368" s="4">
        <v>15000</v>
      </c>
      <c r="Q368" s="5">
        <f t="shared" si="65"/>
        <v>15000</v>
      </c>
      <c r="R368" s="2" t="s">
        <v>46</v>
      </c>
      <c r="S368" s="2" t="str">
        <f t="shared" si="66"/>
        <v>Não</v>
      </c>
      <c r="T368" s="2" t="str">
        <f t="shared" si="67"/>
        <v>Não</v>
      </c>
      <c r="U368" s="2">
        <v>17</v>
      </c>
      <c r="V368" s="2">
        <f t="shared" si="68"/>
        <v>17</v>
      </c>
      <c r="W368" s="2" t="str">
        <f t="shared" si="69"/>
        <v>médio</v>
      </c>
      <c r="X368" s="5">
        <v>69000</v>
      </c>
      <c r="Y368" t="str">
        <f t="shared" si="70"/>
        <v>Positivo</v>
      </c>
      <c r="Z368" t="str">
        <f t="shared" si="71"/>
        <v>Positivo</v>
      </c>
      <c r="AA368" s="1">
        <f>IF(AND(Y368="Negativo",Z368="Negativo"),0,IF(AND(B368="Ativo",OR(Y368="Positivo",Z368="Positivo")),X368*8%,0))</f>
        <v>5520</v>
      </c>
    </row>
    <row r="369" spans="1:27">
      <c r="A369" s="2" t="s">
        <v>24</v>
      </c>
      <c r="B369" s="2" t="str">
        <f t="shared" si="60"/>
        <v>Ativo</v>
      </c>
      <c r="C369" s="2" t="s">
        <v>694</v>
      </c>
      <c r="D369" s="2" t="str">
        <f t="shared" si="61"/>
        <v>Bronn Dondarrion</v>
      </c>
      <c r="E369" s="2" t="s">
        <v>695</v>
      </c>
      <c r="F369" s="2" t="str">
        <f t="shared" si="62"/>
        <v>000.000.036-00</v>
      </c>
      <c r="G369" s="2">
        <v>49</v>
      </c>
      <c r="H369" s="2">
        <f ca="1">IF(G369="", DATEDIF(J369, TODAY(), "Y"), G369)</f>
        <v>49</v>
      </c>
      <c r="I369" s="6">
        <v>28136</v>
      </c>
      <c r="J369" s="6">
        <f t="shared" si="63"/>
        <v>28136</v>
      </c>
      <c r="K369" s="2" t="s">
        <v>110</v>
      </c>
      <c r="L369" s="2" t="str" cm="1">
        <f t="array" ref="L369">_xlfn.TEXTSPLIT(K369,"|")</f>
        <v>Jardim de Cima</v>
      </c>
      <c r="M369" s="2" t="s">
        <v>152</v>
      </c>
      <c r="N369" s="3">
        <v>20300</v>
      </c>
      <c r="O369" s="3">
        <f t="shared" si="64"/>
        <v>20300</v>
      </c>
      <c r="P369" s="4">
        <v>12000</v>
      </c>
      <c r="Q369" s="5">
        <f t="shared" si="65"/>
        <v>12000</v>
      </c>
      <c r="R369" s="2" t="s">
        <v>29</v>
      </c>
      <c r="S369" s="2" t="str">
        <f t="shared" si="66"/>
        <v>Sim</v>
      </c>
      <c r="T369" s="2" t="str">
        <f t="shared" si="67"/>
        <v>Sim</v>
      </c>
      <c r="U369" s="2">
        <v>27</v>
      </c>
      <c r="V369" s="2">
        <f t="shared" si="68"/>
        <v>27</v>
      </c>
      <c r="W369" s="2" t="str">
        <f t="shared" si="69"/>
        <v>alto</v>
      </c>
      <c r="X369" s="5">
        <v>67500</v>
      </c>
      <c r="Y369" t="str">
        <f t="shared" si="70"/>
        <v>Negativo</v>
      </c>
      <c r="Z369" t="str">
        <f t="shared" si="71"/>
        <v>Positivo</v>
      </c>
      <c r="AA369" s="1">
        <f>IF(AND(Y369="Negativo",Z369="Negativo"),0,IF(AND(B369="Ativo",OR(Y369="Positivo",Z369="Positivo")),X369*8%,0))</f>
        <v>5400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2026-09-09T20:01:35Z</dcterms:created>
  <dcterms:modified xsi:type="dcterms:W3CDTF">2026-09-13T19:59:48Z</dcterms:modified>
  <cp:category/>
  <cp:contentStatus/>
</cp:coreProperties>
</file>