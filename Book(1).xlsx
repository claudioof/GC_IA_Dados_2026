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0F898B32-E9D9-469B-9C47-D5B2117F420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4" i="2" l="1"/>
  <c r="Y5" i="2"/>
  <c r="Y6" i="2"/>
  <c r="Y7" i="2"/>
  <c r="Y3" i="2"/>
  <c r="Q3" i="2"/>
  <c r="R3" i="2" s="1"/>
  <c r="Q4" i="2"/>
  <c r="R4" i="2" s="1"/>
  <c r="Q5" i="2"/>
  <c r="R5" i="2" s="1"/>
  <c r="Q6" i="2"/>
  <c r="R6" i="2" s="1"/>
  <c r="Q7" i="2"/>
  <c r="R7" i="2" s="1"/>
  <c r="J3" i="2" a="1"/>
  <c r="J3" i="2"/>
  <c r="J4" i="2" a="1"/>
  <c r="J4" i="2"/>
  <c r="J5" i="2" a="1"/>
  <c r="J5" i="2"/>
  <c r="J6" i="2" a="1"/>
  <c r="J6" i="2"/>
  <c r="J7" i="2" a="1"/>
  <c r="J7" i="2"/>
  <c r="J8" i="2" a="1"/>
  <c r="J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<sst xmlns="http://schemas.openxmlformats.org/spreadsheetml/2006/main" count="66" uniqueCount="55">
  <si>
    <t>Tabela Produtos Cafeteria</t>
  </si>
  <si>
    <t>Falidos e Quebrados ltda.</t>
  </si>
  <si>
    <t>Notas Escolares</t>
  </si>
  <si>
    <t>Recrutamento para vaga de emprego</t>
  </si>
  <si>
    <t>ID_Produto</t>
  </si>
  <si>
    <t>Tipo_Café</t>
  </si>
  <si>
    <t>Tamanho</t>
  </si>
  <si>
    <t>Valor_Unitário</t>
  </si>
  <si>
    <t>Quantidade</t>
  </si>
  <si>
    <t>Funcionário</t>
  </si>
  <si>
    <t>Produto</t>
  </si>
  <si>
    <t>Vendas</t>
  </si>
  <si>
    <t>Resultado</t>
  </si>
  <si>
    <t>RA</t>
  </si>
  <si>
    <t>Nome Aluno</t>
  </si>
  <si>
    <t>Nota 1 Tri</t>
  </si>
  <si>
    <t>Notas 2 Tri</t>
  </si>
  <si>
    <t>Notas 3 Tri</t>
  </si>
  <si>
    <t>Média Final</t>
  </si>
  <si>
    <t>Nome</t>
  </si>
  <si>
    <t>Idade</t>
  </si>
  <si>
    <t>Ensino Médio</t>
  </si>
  <si>
    <t>Curso Técnico</t>
  </si>
  <si>
    <t>Anos de Experiência</t>
  </si>
  <si>
    <t>Situação</t>
  </si>
  <si>
    <t>Ara</t>
  </si>
  <si>
    <t>G</t>
  </si>
  <si>
    <t>Abrilina</t>
  </si>
  <si>
    <t>Mouse</t>
  </si>
  <si>
    <t>Astro</t>
  </si>
  <si>
    <t>Alfa</t>
  </si>
  <si>
    <t>Não</t>
  </si>
  <si>
    <t>Sim</t>
  </si>
  <si>
    <t>Cheropita</t>
  </si>
  <si>
    <t>Teclado</t>
  </si>
  <si>
    <t>Celeste</t>
  </si>
  <si>
    <t>Fusca</t>
  </si>
  <si>
    <t>Lib</t>
  </si>
  <si>
    <t>M</t>
  </si>
  <si>
    <t>Aldegunda</t>
  </si>
  <si>
    <t>Monitor</t>
  </si>
  <si>
    <t>Elvira</t>
  </si>
  <si>
    <t>Uno</t>
  </si>
  <si>
    <t>Rob</t>
  </si>
  <si>
    <t>P</t>
  </si>
  <si>
    <t>Arquibaldo</t>
  </si>
  <si>
    <t>Gabinete</t>
  </si>
  <si>
    <t>Homer</t>
  </si>
  <si>
    <t>Nissan</t>
  </si>
  <si>
    <t>Clarisbadeu</t>
  </si>
  <si>
    <t>Disquete</t>
  </si>
  <si>
    <t>Chevrolet da Silva</t>
  </si>
  <si>
    <t>Ferrari</t>
  </si>
  <si>
    <t>Fredolino</t>
  </si>
  <si>
    <t>Impressora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</si>
</sst>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$-416]\ * #,##0.00_-;\-[$R$-416]\ * #,##0.00_-;_-[$R$-416]\ * &quot;-&quot;??_-;_-@_-"/>
    <numFmt numFmtId="165" formatCode="_-* #,##0.0_-;\-* #,##0.0_-;_-* &quot;-&quot;??_-;_-@_-"/>
    <numFmt numFmtId="166" formatCode="0.0"/>
  </numFmts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164" fontId="0" fillId="3" borderId="2" xfId="0" applyNumberFormat="1" applyFont="1" applyFill="1" applyBorder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166" formatCode="0.0"/>
    </dxf>
    <dxf>
      <numFmt numFmtId="1" formatCode="0"/>
    </dxf>
    <dxf>
      <numFmt numFmtId="1" formatCode="0"/>
    </dxf>
    <dxf>
      <numFmt numFmtId="1" formatCode="0"/>
    </dxf>
    <dxf>
      <numFmt numFmtId="164" formatCode="_-[$R$-416]\ * #,##0.00_-;\-[$R$-416]\ * #,##0.00_-;_-[$R$-416]\ * &quot;-&quot;??_-;_-@_-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/>
        </patternFill>
      </fill>
    </dxf>
    <dxf>
      <numFmt numFmtId="0" formatCode="General"/>
    </dxf>
    <dxf>
      <font>
        <color rgb="FF92D050"/>
      </font>
    </dxf>
    <dxf>
      <font>
        <color rgb="FF9C0006"/>
      </font>
    </dxf>
    <dxf>
      <font>
        <color rgb="FF92D050"/>
      </font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34BDF-5B8C-4942-9EFF-50415EBBA978}" name="Tabela1" displayName="Tabela1" ref="G2:J8" totalsRowShown="0">
  <autoFilter ref="G2:J8" xr:uid="{F7E34BDF-5B8C-4942-9EFF-50415EBBA978}"/>
  <tableColumns count="4">
    <tableColumn id="1" xr3:uid="{2DE0B9BB-26CA-4D5C-A1C7-33FAC5E39D97}" name="Funcionário"/>
    <tableColumn id="2" xr3:uid="{21A62B33-D568-43FB-82E9-E25AEB59B83E}" name="Produto"/>
    <tableColumn id="3" xr3:uid="{089DCAAC-1280-4F0F-999A-1C6FEC495065}" name="Vendas"/>
    <tableColumn id="4" xr3:uid="{072EF26B-3608-4E65-A3D5-5AB7EE764D17}" name="Resultado" dataDxfId="9">
      <calculatedColumnFormula array="1">_xlfn.IFS(I3&gt;5,"Ótimo",I3&lt;5,"Péssimo",I3=5,"Regular")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41D15E-CD18-4296-A463-391CB03E36B9}" name="Tabela2" displayName="Tabela2" ref="A2:E6" totalsRowShown="0" headerRowDxfId="8" headerRowBorderDxfId="7">
  <autoFilter ref="A2:E6" xr:uid="{6141D15E-CD18-4296-A463-391CB03E36B9}"/>
  <tableColumns count="5">
    <tableColumn id="1" xr3:uid="{02C4D069-5EDD-4106-91C0-3A33B306F1F0}" name="ID_Produto"/>
    <tableColumn id="2" xr3:uid="{30655AE0-5C88-41C9-B0F7-B753DDA11A71}" name="Tipo_Café"/>
    <tableColumn id="3" xr3:uid="{4E4E6865-1A64-4136-84F0-387618BD05CD}" name="Tamanho"/>
    <tableColumn id="4" xr3:uid="{8778DF7D-C7AC-4E20-A865-BB405C1B571F}" name="Valor_Unitário" dataDxfId="6"/>
    <tableColumn id="5" xr3:uid="{508B4AA5-97E4-494B-9FA1-A94C87E1B18D}" name="Quantida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6876E6-9007-44FE-B14C-939F8E7B7C1E}" name="Tabela3" displayName="Tabela3" ref="L2:R7" totalsRowShown="0">
  <autoFilter ref="L2:R7" xr:uid="{446876E6-9007-44FE-B14C-939F8E7B7C1E}"/>
  <tableColumns count="7">
    <tableColumn id="1" xr3:uid="{D66DBD9C-AE5A-4618-9D63-6AA2AF987223}" name="RA"/>
    <tableColumn id="2" xr3:uid="{61DB5DDE-E275-47EA-97B3-20150A550D4C}" name="Nome Aluno"/>
    <tableColumn id="3" xr3:uid="{C9929E39-4E2F-4E63-8682-76407C016DDE}" name="Nota 1 Tri" dataDxfId="5"/>
    <tableColumn id="4" xr3:uid="{66FDCC9B-3E5E-4B25-82DE-E0F051E10BB8}" name="Notas 2 Tri" dataDxfId="4"/>
    <tableColumn id="5" xr3:uid="{FC1E6F13-BCC2-4C64-AA70-E5F70CA73AEA}" name="Notas 3 Tri" dataDxfId="3"/>
    <tableColumn id="6" xr3:uid="{8B5A6DAE-FD7F-4270-A260-557C7F2B26B3}" name="Média Final" dataDxfId="2">
      <calculatedColumnFormula>AVERAGE(Tabela3[[#This Row],[Nota 1 Tri]:[Notas 3 Tri]])</calculatedColumnFormula>
    </tableColumn>
    <tableColumn id="7" xr3:uid="{797AF797-9F77-485F-8B6C-F69683C02C6E}" name="Resultado" dataDxfId="1">
      <calculatedColumnFormula>IF(Tabela3[[#This Row],[Média Final]]&gt;=6,"Aprovado", "Reprovado")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D942E6-B17D-456E-B53A-7FDA2E13345A}" name="Tabela4" displayName="Tabela4" ref="T2:Y7" totalsRowShown="0">
  <autoFilter ref="T2:Y7" xr:uid="{67D942E6-B17D-456E-B53A-7FDA2E13345A}"/>
  <tableColumns count="6">
    <tableColumn id="1" xr3:uid="{186B6ACD-FA3A-4568-8189-5EB8EE9DAB38}" name="Nome"/>
    <tableColumn id="2" xr3:uid="{20056E98-AA2B-4393-94F5-9A8B3BA42778}" name="Idade"/>
    <tableColumn id="3" xr3:uid="{E8FCDCB1-3E5E-41BB-9EE7-77E757D70907}" name="Ensino Médio"/>
    <tableColumn id="4" xr3:uid="{09897F43-A45B-4111-85B1-635C78C0712D}" name="Curso Técnico"/>
    <tableColumn id="5" xr3:uid="{C7E7A6AE-421A-4946-A581-ABCA44967DEA}" name="Anos de Experiência"/>
    <tableColumn id="6" xr3:uid="{9FDC397C-EC0C-47A3-AA95-DCFD70343E89}" name="Situação" dataDxfId="0">
      <calculatedColumnFormula>IF(AND(U3&gt;=18, V3="Sim", W3="Sim", X3&gt;=3), "Apto", "Não apto")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3043-38BD-4C2A-B0AB-420A1340F220}">
  <dimension ref="A1:Y8"/>
  <sheetViews>
    <sheetView tabSelected="1" topLeftCell="O1" workbookViewId="0">
      <selection activeCell="Y3" sqref="Y3"/>
    </sheetView>
  </sheetViews>
  <sheetFormatPr defaultRowHeight="15"/>
  <cols>
    <col min="1" max="3" width="18.28515625" customWidth="1"/>
    <col min="4" max="4" width="18.28515625" style="5" customWidth="1"/>
    <col min="5" max="5" width="18.28515625" customWidth="1"/>
    <col min="6" max="6" width="14" bestFit="1" customWidth="1"/>
    <col min="7" max="10" width="24.85546875" customWidth="1"/>
    <col min="11" max="11" width="22.7109375" customWidth="1"/>
    <col min="12" max="18" width="15.5703125" customWidth="1"/>
    <col min="19" max="19" width="18.42578125" customWidth="1"/>
    <col min="20" max="25" width="18.28515625" customWidth="1"/>
  </cols>
  <sheetData>
    <row r="1" spans="1:25">
      <c r="A1" s="12" t="s">
        <v>0</v>
      </c>
      <c r="B1" s="12"/>
      <c r="C1" s="12"/>
      <c r="D1" s="12"/>
      <c r="E1" s="12"/>
      <c r="G1" s="12" t="s">
        <v>1</v>
      </c>
      <c r="H1" s="12"/>
      <c r="I1" s="12"/>
      <c r="J1" s="12"/>
      <c r="L1" s="12" t="s">
        <v>2</v>
      </c>
      <c r="M1" s="12"/>
      <c r="N1" s="12"/>
      <c r="O1" s="12"/>
      <c r="P1" s="12"/>
      <c r="Q1" s="12"/>
      <c r="R1" s="12"/>
      <c r="T1" s="12" t="s">
        <v>3</v>
      </c>
      <c r="U1" s="12"/>
      <c r="V1" s="12"/>
      <c r="W1" s="12"/>
      <c r="X1" s="12"/>
      <c r="Y1" s="12"/>
    </row>
    <row r="2" spans="1:25">
      <c r="A2" s="1" t="s">
        <v>4</v>
      </c>
      <c r="B2" s="2" t="s">
        <v>5</v>
      </c>
      <c r="C2" s="2" t="s">
        <v>6</v>
      </c>
      <c r="D2" s="4" t="s">
        <v>7</v>
      </c>
      <c r="E2" s="3" t="s">
        <v>8</v>
      </c>
      <c r="G2" t="s">
        <v>9</v>
      </c>
      <c r="H2" t="s">
        <v>10</v>
      </c>
      <c r="I2" t="s">
        <v>11</v>
      </c>
      <c r="J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12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>
      <c r="A3">
        <v>2</v>
      </c>
      <c r="B3" t="s">
        <v>25</v>
      </c>
      <c r="C3" t="s">
        <v>26</v>
      </c>
      <c r="D3" s="5">
        <v>29.79</v>
      </c>
      <c r="E3">
        <v>20</v>
      </c>
      <c r="G3" s="11" t="s">
        <v>27</v>
      </c>
      <c r="H3" s="11" t="s">
        <v>28</v>
      </c>
      <c r="I3" s="11">
        <v>8</v>
      </c>
      <c r="J3" s="11" t="str" cm="1">
        <f t="array" ref="J3">_xlfn.IFS(I3&gt;5,"Ótimo",I3&lt;5,"Péssimo",I3=5,"Regular")</f>
        <v>Ótimo</v>
      </c>
      <c r="L3">
        <v>2001</v>
      </c>
      <c r="M3" t="s">
        <v>29</v>
      </c>
      <c r="N3" s="10">
        <v>5</v>
      </c>
      <c r="O3" s="10">
        <v>6</v>
      </c>
      <c r="P3" s="10">
        <v>8</v>
      </c>
      <c r="Q3" s="9">
        <f>AVERAGE(Tabela3[[#This Row],[Nota 1 Tri]:[Notas 3 Tri]])</f>
        <v>6.333333333333333</v>
      </c>
      <c r="R3" t="str">
        <f>IF(Tabela3[[#This Row],[Média Final]]&gt;=6,"Aprovado", "Reprovado")</f>
        <v>Aprovado</v>
      </c>
      <c r="T3" t="s">
        <v>30</v>
      </c>
      <c r="U3">
        <v>17</v>
      </c>
      <c r="V3" t="s">
        <v>31</v>
      </c>
      <c r="W3" t="s">
        <v>32</v>
      </c>
      <c r="X3">
        <v>1</v>
      </c>
      <c r="Y3" t="str">
        <f t="shared" ref="Y3:Y7" si="0">IF(AND(U3&gt;=18, V3="Sim", W3="Sim", X3&gt;=3), "Apto", "Não apto")</f>
        <v>Não apto</v>
      </c>
    </row>
    <row r="4" spans="1:25">
      <c r="A4">
        <v>1</v>
      </c>
      <c r="B4" t="s">
        <v>25</v>
      </c>
      <c r="C4" t="s">
        <v>26</v>
      </c>
      <c r="D4" s="5">
        <v>3.89</v>
      </c>
      <c r="E4">
        <v>10</v>
      </c>
      <c r="G4" s="11" t="s">
        <v>33</v>
      </c>
      <c r="H4" s="11" t="s">
        <v>34</v>
      </c>
      <c r="I4" s="11">
        <v>5</v>
      </c>
      <c r="J4" s="11" t="str" cm="1">
        <f t="array" ref="J4">_xlfn.IFS(I4&gt;5,"Ótimo",I4&lt;5,"Péssimo",I4=5,"Regular")</f>
        <v>Regular</v>
      </c>
      <c r="L4">
        <v>2002</v>
      </c>
      <c r="M4" t="s">
        <v>35</v>
      </c>
      <c r="N4" s="10">
        <v>10</v>
      </c>
      <c r="O4" s="10">
        <v>7</v>
      </c>
      <c r="P4" s="10">
        <v>8</v>
      </c>
      <c r="Q4" s="8">
        <f>AVERAGE(Tabela3[[#This Row],[Nota 1 Tri]:[Notas 3 Tri]])</f>
        <v>8.3333333333333339</v>
      </c>
      <c r="R4" t="str">
        <f>IF(Tabela3[[#This Row],[Média Final]]&gt;=6,"Aprovado", "Reprovado")</f>
        <v>Aprovado</v>
      </c>
      <c r="T4" t="s">
        <v>36</v>
      </c>
      <c r="U4">
        <v>24</v>
      </c>
      <c r="V4" t="s">
        <v>32</v>
      </c>
      <c r="W4" t="s">
        <v>32</v>
      </c>
      <c r="X4">
        <v>3</v>
      </c>
      <c r="Y4" t="str">
        <f t="shared" si="0"/>
        <v>Apto</v>
      </c>
    </row>
    <row r="5" spans="1:25">
      <c r="A5">
        <v>3</v>
      </c>
      <c r="B5" t="s">
        <v>37</v>
      </c>
      <c r="C5" t="s">
        <v>38</v>
      </c>
      <c r="D5" s="5">
        <v>3.38</v>
      </c>
      <c r="E5">
        <v>30</v>
      </c>
      <c r="G5" s="11" t="s">
        <v>39</v>
      </c>
      <c r="H5" s="11" t="s">
        <v>40</v>
      </c>
      <c r="I5" s="11">
        <v>9</v>
      </c>
      <c r="J5" s="11" t="str" cm="1">
        <f t="array" ref="J5">_xlfn.IFS(I5&gt;5,"Ótimo",I5&lt;5,"Péssimo",I5=5,"Regular")</f>
        <v>Ótimo</v>
      </c>
      <c r="L5">
        <v>2003</v>
      </c>
      <c r="M5" t="s">
        <v>41</v>
      </c>
      <c r="N5" s="10">
        <v>5</v>
      </c>
      <c r="O5" s="10">
        <v>2</v>
      </c>
      <c r="P5" s="10">
        <v>8</v>
      </c>
      <c r="Q5" s="8">
        <f>AVERAGE(Tabela3[[#This Row],[Nota 1 Tri]:[Notas 3 Tri]])</f>
        <v>5</v>
      </c>
      <c r="R5" t="str">
        <f>IF(Tabela3[[#This Row],[Média Final]]&gt;=6,"Aprovado", "Reprovado")</f>
        <v>Reprovado</v>
      </c>
      <c r="T5" t="s">
        <v>42</v>
      </c>
      <c r="U5">
        <v>28</v>
      </c>
      <c r="V5" t="s">
        <v>32</v>
      </c>
      <c r="W5" t="s">
        <v>32</v>
      </c>
      <c r="X5">
        <v>4</v>
      </c>
      <c r="Y5" t="str">
        <f t="shared" si="0"/>
        <v>Apto</v>
      </c>
    </row>
    <row r="6" spans="1:25">
      <c r="A6">
        <v>4</v>
      </c>
      <c r="B6" t="s">
        <v>43</v>
      </c>
      <c r="C6" t="s">
        <v>44</v>
      </c>
      <c r="D6" s="5">
        <v>13.43</v>
      </c>
      <c r="E6">
        <v>40</v>
      </c>
      <c r="G6" s="11" t="s">
        <v>45</v>
      </c>
      <c r="H6" s="11" t="s">
        <v>46</v>
      </c>
      <c r="I6" s="11">
        <v>4</v>
      </c>
      <c r="J6" s="11" t="str" cm="1">
        <f t="array" ref="J6">_xlfn.IFS(I6&gt;5,"Ótimo",I6&lt;5,"Péssimo",I6=5,"Regular")</f>
        <v>Péssimo</v>
      </c>
      <c r="L6">
        <v>2004</v>
      </c>
      <c r="M6" t="s">
        <v>47</v>
      </c>
      <c r="N6" s="10">
        <v>2</v>
      </c>
      <c r="O6" s="10">
        <v>1</v>
      </c>
      <c r="P6" s="10">
        <v>3</v>
      </c>
      <c r="Q6" s="8">
        <f>AVERAGE(Tabela3[[#This Row],[Nota 1 Tri]:[Notas 3 Tri]])</f>
        <v>2</v>
      </c>
      <c r="R6" t="str">
        <f>IF(Tabela3[[#This Row],[Média Final]]&gt;=6,"Aprovado", "Reprovado")</f>
        <v>Reprovado</v>
      </c>
      <c r="T6" t="s">
        <v>48</v>
      </c>
      <c r="U6">
        <v>18</v>
      </c>
      <c r="V6" t="s">
        <v>32</v>
      </c>
      <c r="W6" t="s">
        <v>31</v>
      </c>
      <c r="X6">
        <v>1</v>
      </c>
      <c r="Y6" t="str">
        <f t="shared" si="0"/>
        <v>Não apto</v>
      </c>
    </row>
    <row r="7" spans="1:25">
      <c r="A7" s="6"/>
      <c r="B7" s="6"/>
      <c r="C7" s="6"/>
      <c r="D7" s="7"/>
      <c r="E7" s="6"/>
      <c r="G7" s="11" t="s">
        <v>49</v>
      </c>
      <c r="H7" s="11" t="s">
        <v>50</v>
      </c>
      <c r="I7" s="11">
        <v>6</v>
      </c>
      <c r="J7" s="11" t="str" cm="1">
        <f t="array" ref="J7">_xlfn.IFS(I7&gt;5,"Ótimo",I7&lt;5,"Péssimo",I7=5,"Regular")</f>
        <v>Ótimo</v>
      </c>
      <c r="L7">
        <v>2005</v>
      </c>
      <c r="M7" t="s">
        <v>51</v>
      </c>
      <c r="N7" s="10">
        <v>4</v>
      </c>
      <c r="O7" s="10">
        <v>7</v>
      </c>
      <c r="P7" s="10">
        <v>8</v>
      </c>
      <c r="Q7" s="8">
        <f>AVERAGE(Tabela3[[#This Row],[Nota 1 Tri]:[Notas 3 Tri]])</f>
        <v>6.333333333333333</v>
      </c>
      <c r="R7" t="str">
        <f>IF(Tabela3[[#This Row],[Média Final]]&gt;=6,"Aprovado", "Reprovado")</f>
        <v>Aprovado</v>
      </c>
      <c r="T7" t="s">
        <v>52</v>
      </c>
      <c r="U7">
        <v>22</v>
      </c>
      <c r="V7" t="s">
        <v>32</v>
      </c>
      <c r="W7" t="s">
        <v>32</v>
      </c>
      <c r="X7">
        <v>2</v>
      </c>
      <c r="Y7" t="str">
        <f t="shared" si="0"/>
        <v>Não apto</v>
      </c>
    </row>
    <row r="8" spans="1:25">
      <c r="G8" s="11" t="s">
        <v>53</v>
      </c>
      <c r="H8" s="11" t="s">
        <v>54</v>
      </c>
      <c r="I8" s="11">
        <v>3</v>
      </c>
      <c r="J8" s="11" t="str" cm="1">
        <f t="array" ref="J8">_xlfn.IFS(I8&gt;5,"Ótimo",I8&lt;5,"Péssimo",I8=5,"Regular")</f>
        <v>Péssimo</v>
      </c>
    </row>
  </sheetData>
  <mergeCells count="4">
    <mergeCell ref="A1:E1"/>
    <mergeCell ref="G1:J1"/>
    <mergeCell ref="L1:R1"/>
    <mergeCell ref="T1:Y1"/>
  </mergeCells>
  <conditionalFormatting sqref="N3:Q7">
    <cfRule type="cellIs" dxfId="13" priority="6" operator="lessThanOrEqual">
      <formula>5</formula>
    </cfRule>
  </conditionalFormatting>
  <conditionalFormatting sqref="N3:Q7">
    <cfRule type="cellIs" dxfId="12" priority="5" operator="greaterThanOrEqual">
      <formula>6</formula>
    </cfRule>
  </conditionalFormatting>
  <conditionalFormatting sqref="R3:R7">
    <cfRule type="containsText" dxfId="11" priority="2" operator="containsText" text="Repr">
      <formula>NOT(ISERROR(SEARCH("Repr",R3)))</formula>
    </cfRule>
  </conditionalFormatting>
  <conditionalFormatting sqref="R3:R7">
    <cfRule type="containsText" dxfId="10" priority="1" operator="containsText" text="Apro">
      <formula>NOT(ISERROR(SEARCH("Apro",R3)))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2026-09-02T17:18:32Z</dcterms:created>
  <dcterms:modified xsi:type="dcterms:W3CDTF">2026-09-13T19:55:33Z</dcterms:modified>
  <cp:category/>
  <cp:contentStatus/>
</cp:coreProperties>
</file>